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.shortcut-targets-by-id\0B2Ik8SwJAxx-UUUzSTJLWmlNd0U\Lux\CLIENTS\Celine\26_Aventura Mall - Celine\20251216_GC BID PACKAGE\BID FORM\"/>
    </mc:Choice>
  </mc:AlternateContent>
  <xr:revisionPtr revIDLastSave="0" documentId="8_{E38C4CE8-8804-41BC-91EE-77932EA781C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ID FORM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8U5UCS6BJ5bDIufYvkLcttoakAvQD+krUfA9cbMoTo="/>
    </ext>
  </extLst>
</workbook>
</file>

<file path=xl/calcChain.xml><?xml version="1.0" encoding="utf-8"?>
<calcChain xmlns="http://schemas.openxmlformats.org/spreadsheetml/2006/main">
  <c r="H168" i="1" l="1"/>
  <c r="H200" i="1"/>
  <c r="H196" i="1"/>
  <c r="H195" i="1"/>
  <c r="H194" i="1"/>
  <c r="H166" i="1"/>
  <c r="H162" i="1"/>
  <c r="H161" i="1"/>
  <c r="H155" i="1"/>
  <c r="H149" i="1"/>
  <c r="H145" i="1"/>
  <c r="H142" i="1"/>
  <c r="H140" i="1"/>
  <c r="H139" i="1"/>
  <c r="H138" i="1"/>
  <c r="H134" i="1"/>
  <c r="H133" i="1" s="1"/>
  <c r="H125" i="1"/>
  <c r="H123" i="1"/>
  <c r="H122" i="1"/>
  <c r="H121" i="1"/>
  <c r="H120" i="1"/>
  <c r="H119" i="1"/>
  <c r="H118" i="1"/>
  <c r="H117" i="1"/>
  <c r="H114" i="1"/>
  <c r="H113" i="1"/>
  <c r="H108" i="1"/>
  <c r="H106" i="1"/>
  <c r="H105" i="1"/>
  <c r="H98" i="1" s="1"/>
  <c r="H95" i="1"/>
  <c r="H93" i="1"/>
  <c r="H92" i="1"/>
  <c r="H91" i="1"/>
  <c r="H90" i="1"/>
  <c r="H89" i="1"/>
  <c r="H88" i="1"/>
  <c r="H87" i="1"/>
  <c r="H85" i="1"/>
  <c r="H84" i="1"/>
  <c r="H80" i="1"/>
  <c r="H76" i="1"/>
  <c r="H75" i="1"/>
  <c r="H66" i="1"/>
  <c r="H64" i="1"/>
  <c r="H63" i="1"/>
  <c r="H62" i="1"/>
  <c r="H61" i="1"/>
  <c r="H60" i="1"/>
  <c r="H58" i="1"/>
  <c r="H57" i="1"/>
  <c r="H56" i="1"/>
  <c r="H48" i="1"/>
  <c r="H41" i="1"/>
  <c r="H39" i="1"/>
  <c r="H36" i="1"/>
  <c r="H34" i="1"/>
  <c r="H25" i="1"/>
  <c r="H20" i="1"/>
  <c r="H74" i="1" l="1"/>
  <c r="H137" i="1"/>
  <c r="H110" i="1"/>
  <c r="H82" i="1"/>
  <c r="H55" i="1"/>
  <c r="H159" i="1"/>
  <c r="H188" i="1"/>
  <c r="H203" i="1" s="1"/>
  <c r="G202" i="1" l="1"/>
  <c r="H202" i="1" s="1"/>
  <c r="H191" i="1" l="1"/>
  <c r="H204" i="1" s="1"/>
</calcChain>
</file>

<file path=xl/sharedStrings.xml><?xml version="1.0" encoding="utf-8"?>
<sst xmlns="http://schemas.openxmlformats.org/spreadsheetml/2006/main" count="215" uniqueCount="208">
  <si>
    <t>PROJECT:</t>
  </si>
  <si>
    <t>Celine at Aventura</t>
  </si>
  <si>
    <t xml:space="preserve">PROJECT SIZE: </t>
  </si>
  <si>
    <t>4015 SF</t>
  </si>
  <si>
    <t>DRAWING MANIFEST:</t>
  </si>
  <si>
    <t>Bid Set</t>
  </si>
  <si>
    <t xml:space="preserve">DWG DATE: </t>
  </si>
  <si>
    <t xml:space="preserve">GENERAL CONTRACTOR: </t>
  </si>
  <si>
    <t>Lux Brand Company</t>
  </si>
  <si>
    <t xml:space="preserve">LABOR TYPE: </t>
  </si>
  <si>
    <t xml:space="preserve">NON UNION </t>
  </si>
  <si>
    <t>BID DUE DATE</t>
  </si>
  <si>
    <t xml:space="preserve">Notes </t>
  </si>
  <si>
    <t>All breakout numbers and Alternates are required upon submission of bid.</t>
  </si>
  <si>
    <t>GC must consult all LL-provided documentation, particularly with regards to work site security &amp; badging and approved subcontractors</t>
  </si>
  <si>
    <t xml:space="preserve">GC must provide cost per sqft / linear ft where applicable </t>
  </si>
  <si>
    <t xml:space="preserve">GC to provide subsequent sheet with detailed description for each fee provided </t>
  </si>
  <si>
    <t xml:space="preserve">All Millwork to be installed by millwork installer. GC to coordinate as needed </t>
  </si>
  <si>
    <r>
      <rPr>
        <sz val="10"/>
        <color theme="1"/>
        <rFont val="Arial"/>
        <family val="2"/>
      </rPr>
      <t xml:space="preserve">All items listed are for GC to </t>
    </r>
    <r>
      <rPr>
        <u/>
        <sz val="10"/>
        <color theme="1"/>
        <rFont val="Arial"/>
        <family val="2"/>
      </rPr>
      <t>FURNISH &amp; INSTALL</t>
    </r>
    <r>
      <rPr>
        <sz val="10"/>
        <color theme="1"/>
        <rFont val="Arial"/>
        <family val="2"/>
      </rPr>
      <t xml:space="preserve"> unless noted otherwise</t>
    </r>
  </si>
  <si>
    <t>Scope includes but is not limited to line item descriptions. Refer to plans for additional information</t>
  </si>
  <si>
    <t xml:space="preserve">BID BREAK DOWN </t>
  </si>
  <si>
    <t xml:space="preserve">QTY </t>
  </si>
  <si>
    <t xml:space="preserve">UNIT </t>
  </si>
  <si>
    <t xml:space="preserve">RATE </t>
  </si>
  <si>
    <t>TOTAL</t>
  </si>
  <si>
    <t xml:space="preserve">01 _ General Requirements </t>
  </si>
  <si>
    <t xml:space="preserve"> </t>
  </si>
  <si>
    <t xml:space="preserve">Daily Site Cleaning </t>
  </si>
  <si>
    <t xml:space="preserve">Final Site Cleans  (3 MIN PROFESSIONAL  REQUIRED) </t>
  </si>
  <si>
    <t xml:space="preserve">Building Permit and Fees </t>
  </si>
  <si>
    <t xml:space="preserve">Temporary Utilities </t>
  </si>
  <si>
    <t xml:space="preserve">Project Documents and Controls </t>
  </si>
  <si>
    <r>
      <rPr>
        <sz val="10"/>
        <color theme="1"/>
        <rFont val="Arial"/>
        <family val="2"/>
      </rPr>
      <t xml:space="preserve">(9) Dumpsters and Waste Removal (including millwork debris and crates) - </t>
    </r>
    <r>
      <rPr>
        <b/>
        <sz val="10"/>
        <color theme="1"/>
        <rFont val="Arial"/>
        <family val="2"/>
      </rPr>
      <t>No dumpsters provide for store stocking</t>
    </r>
    <r>
      <rPr>
        <sz val="10"/>
        <color theme="1"/>
        <rFont val="Arial"/>
        <family val="2"/>
      </rPr>
      <t xml:space="preserve">
to comply with Building Rules and Regulations </t>
    </r>
  </si>
  <si>
    <t xml:space="preserve">Coordination, receipt and storage of all Owner Furnished Items </t>
  </si>
  <si>
    <t>Floor Protection (including Masonite to protect finish floor)</t>
  </si>
  <si>
    <t xml:space="preserve">Production of shop drawings including revision for approval </t>
  </si>
  <si>
    <t xml:space="preserve">Inspection and Coordination </t>
  </si>
  <si>
    <t xml:space="preserve">Commissioning and Testing </t>
  </si>
  <si>
    <t xml:space="preserve">UL listing for Millwork and Exterior Signage with sticker </t>
  </si>
  <si>
    <t xml:space="preserve">Samples as required </t>
  </si>
  <si>
    <t>02 _ Site Construction</t>
  </si>
  <si>
    <t xml:space="preserve">Demolition ( include and specify night if required) </t>
  </si>
  <si>
    <t>03 _ Concrete</t>
  </si>
  <si>
    <t xml:space="preserve">Scanning and Investigations </t>
  </si>
  <si>
    <t xml:space="preserve">Grinding for floor Finishes </t>
  </si>
  <si>
    <t xml:space="preserve">Saw cutting for all Trades </t>
  </si>
  <si>
    <t xml:space="preserve">Floor Trenching and Patching </t>
  </si>
  <si>
    <t>Floor Levelling of Existing floor up to 3/4"</t>
  </si>
  <si>
    <t xml:space="preserve">Vapor Barrier and Water Proofing Membrane  </t>
  </si>
  <si>
    <t xml:space="preserve">Anti Fracture Membrane </t>
  </si>
  <si>
    <t>04 _ Masonry</t>
  </si>
  <si>
    <t xml:space="preserve">Stone Supplied by Owner and Installed by GC </t>
  </si>
  <si>
    <t xml:space="preserve">Stone Storage by GC. Stone delivery to  site by GC </t>
  </si>
  <si>
    <t xml:space="preserve">Drylay required for 20 tiles Maximum </t>
  </si>
  <si>
    <t>05_ Metals</t>
  </si>
  <si>
    <t xml:space="preserve">Structural Steel </t>
  </si>
  <si>
    <t>Metal Decking</t>
  </si>
  <si>
    <t>Metal Fabrications ( stairs, Railing, etc.)</t>
  </si>
  <si>
    <t>Storefront metal framing and connections - cost must be broken down for storefront</t>
  </si>
  <si>
    <t xml:space="preserve">Structural metal work, beams post, bracing and Fasteners </t>
  </si>
  <si>
    <t xml:space="preserve">Non structural metals  </t>
  </si>
  <si>
    <t xml:space="preserve">Misc. Metals </t>
  </si>
  <si>
    <t xml:space="preserve">Storefront Structural Steel Framing </t>
  </si>
  <si>
    <t xml:space="preserve">Other (please specify) </t>
  </si>
  <si>
    <t>06_ Wood and Plastic</t>
  </si>
  <si>
    <t>Rough Carpentry , Blocking , and Back Framing</t>
  </si>
  <si>
    <t xml:space="preserve">Plywood sheathing for Millwork installation </t>
  </si>
  <si>
    <t xml:space="preserve">Plywood Sheathing for Storefront (cost must be broken down) </t>
  </si>
  <si>
    <t>Finish Carpentry</t>
  </si>
  <si>
    <t xml:space="preserve">Millwork _ BOH </t>
  </si>
  <si>
    <t>07_  Thermal and Moisture Protection</t>
  </si>
  <si>
    <t>Waterproofing</t>
  </si>
  <si>
    <t>Insulation</t>
  </si>
  <si>
    <t xml:space="preserve">Roofing </t>
  </si>
  <si>
    <t>Firestopping (Repair existing fireproofing at strutural columns)</t>
  </si>
  <si>
    <t>Caulking and Sealing (touch up fire caluking at exisitng demising walls)</t>
  </si>
  <si>
    <t>08_ Door and Windows</t>
  </si>
  <si>
    <t>STOREFRONT WORK BY GENERAL CONTRACTOR</t>
  </si>
  <si>
    <t>Entrance doors and vestibule  (Entrance doors by MWC per drawings)</t>
  </si>
  <si>
    <t>Hardware set for Entrance Doors (By MWC per drawings)</t>
  </si>
  <si>
    <t>Storefront system (Includes Glazing, Mullions, and Install)</t>
  </si>
  <si>
    <t xml:space="preserve">Storefront Glazing </t>
  </si>
  <si>
    <t xml:space="preserve">Storefront Mullions </t>
  </si>
  <si>
    <t xml:space="preserve">Storefront Cladding </t>
  </si>
  <si>
    <t xml:space="preserve">Storefront Install </t>
  </si>
  <si>
    <t>Storefront Shop Drawings</t>
  </si>
  <si>
    <t xml:space="preserve">Storefront Engineering </t>
  </si>
  <si>
    <t xml:space="preserve">GC to Coordinate Owner Vendor for Storefront Stone Installation </t>
  </si>
  <si>
    <t xml:space="preserve">Internal Doors supply and Install </t>
  </si>
  <si>
    <t>09_ Finishes</t>
  </si>
  <si>
    <t>Drywall (wall type finishes) - Walls and Ceilings</t>
  </si>
  <si>
    <t xml:space="preserve">Ceiling Drywall </t>
  </si>
  <si>
    <t xml:space="preserve">ACT Ceiling </t>
  </si>
  <si>
    <t xml:space="preserve">Vinyl flooring </t>
  </si>
  <si>
    <t>Vinyl Base</t>
  </si>
  <si>
    <t xml:space="preserve">Painting (Level 5 Finish on Sales Floor - walls, ceiling &amp; ceiling coves) - Includes BOH walls and ceilings
</t>
  </si>
  <si>
    <t>Misc.: [M-1] Polished Stainless Steel Base - Install in areas not on sales floor</t>
  </si>
  <si>
    <t xml:space="preserve">PT-1 Wall Finish
</t>
  </si>
  <si>
    <t xml:space="preserve">Stone flooring </t>
  </si>
  <si>
    <t>10_ Specialties</t>
  </si>
  <si>
    <t xml:space="preserve">Sign Permits including UL listing fees </t>
  </si>
  <si>
    <t>Logo installation (Sign Install - Sign supply by MWC)</t>
  </si>
  <si>
    <t xml:space="preserve">Lockers: Coordination of Owner Vendor Installation </t>
  </si>
  <si>
    <t xml:space="preserve">Storage Shelving:  Coordination of Owner Vendor Installation </t>
  </si>
  <si>
    <t xml:space="preserve">Fire extinguishers and cabinets </t>
  </si>
  <si>
    <t xml:space="preserve">Supply and install of Braille and Tactile signage </t>
  </si>
  <si>
    <t xml:space="preserve">Bathroom Accessories </t>
  </si>
  <si>
    <t xml:space="preserve"> Restroom  Toilet Paper Holder</t>
  </si>
  <si>
    <t>Restroom Flush Actuator Plate</t>
  </si>
  <si>
    <t>Restroom Straight Grab Bar</t>
  </si>
  <si>
    <t>Restroom Coat Hook</t>
  </si>
  <si>
    <t xml:space="preserve">Restroom Mirrors </t>
  </si>
  <si>
    <t>11_ Equipment</t>
  </si>
  <si>
    <t xml:space="preserve">Kitchen appliances supply and installation </t>
  </si>
  <si>
    <t>Refrigerator</t>
  </si>
  <si>
    <t>Dishwasher</t>
  </si>
  <si>
    <t>Microwave</t>
  </si>
  <si>
    <t>Water Machine</t>
  </si>
  <si>
    <t xml:space="preserve">Safe _  Coordination and Installation of Owner Supplied </t>
  </si>
  <si>
    <t>12_ Furnishing</t>
  </si>
  <si>
    <t xml:space="preserve">NOT USED </t>
  </si>
  <si>
    <t>14_ Conveying Systems</t>
  </si>
  <si>
    <t>15_ Fire Suppression</t>
  </si>
  <si>
    <t>Sprinkler systems</t>
  </si>
  <si>
    <t xml:space="preserve">Sprinkler permits and Fees </t>
  </si>
  <si>
    <t xml:space="preserve">Sprinkler Testing and Commissioning </t>
  </si>
  <si>
    <t>Sprinkler shut down (4 shutdowns included)</t>
  </si>
  <si>
    <t xml:space="preserve">Shop drawings and Coordination up to 3 revisions </t>
  </si>
  <si>
    <t>Color match heads</t>
  </si>
  <si>
    <t>16 _  Plumbing</t>
  </si>
  <si>
    <t xml:space="preserve">Plumbing Fixtures and Equipment : Supply And Install </t>
  </si>
  <si>
    <t>Pantry Sink</t>
  </si>
  <si>
    <t xml:space="preserve">Service Sink + Faucet  </t>
  </si>
  <si>
    <t xml:space="preserve">Drinking Fountain </t>
  </si>
  <si>
    <t xml:space="preserve">Floor Drains </t>
  </si>
  <si>
    <t xml:space="preserve">Water Meter </t>
  </si>
  <si>
    <t xml:space="preserve">Plumbing permit and Fees </t>
  </si>
  <si>
    <t>Other - Camera locate for plumbing tie-ins</t>
  </si>
  <si>
    <t>17 _  Heating Ventilating and Air- Conditioning</t>
  </si>
  <si>
    <t>HVAC Equipment  ( including F&amp;I of dampers, sensors, control systems, heaters, exhaust fans etc. ) ALL COST TO BE INCLUDED, GC TO PROVIDE SPECIAL PRICING ON ITEMS IF REQUIRED</t>
  </si>
  <si>
    <t xml:space="preserve">Diffusers and Grills - specify lead time </t>
  </si>
  <si>
    <t xml:space="preserve">HVAC Ductwork and Distribution </t>
  </si>
  <si>
    <t xml:space="preserve">HVAC Permit and Fees </t>
  </si>
  <si>
    <t xml:space="preserve">Testing and Comissions </t>
  </si>
  <si>
    <t>CONTROLS?</t>
  </si>
  <si>
    <t xml:space="preserve">Air Balance report </t>
  </si>
  <si>
    <t>18 _ Electric</t>
  </si>
  <si>
    <t xml:space="preserve">Electrical distributions </t>
  </si>
  <si>
    <t>Electrical Cabling and Conduits</t>
  </si>
  <si>
    <r>
      <rPr>
        <sz val="10"/>
        <color theme="1"/>
        <rFont val="Arial"/>
        <family val="2"/>
      </rPr>
      <t xml:space="preserve">Light switches, rectacaples,power and data outlets and finish plates </t>
    </r>
    <r>
      <rPr>
        <b/>
        <sz val="10"/>
        <color theme="1"/>
        <rFont val="Arial"/>
        <family val="2"/>
      </rPr>
      <t>(Included in above number)</t>
    </r>
  </si>
  <si>
    <t>Electrical : Equipment (batteries, inverters , etc.)</t>
  </si>
  <si>
    <r>
      <rPr>
        <sz val="10"/>
        <color theme="1"/>
        <rFont val="Arial"/>
        <family val="2"/>
      </rPr>
      <t xml:space="preserve">Lighting at FOH  (Install Owner Supplied) </t>
    </r>
    <r>
      <rPr>
        <b/>
        <sz val="10"/>
        <color theme="1"/>
        <rFont val="Arial"/>
        <family val="2"/>
      </rPr>
      <t>(Included in above number)</t>
    </r>
  </si>
  <si>
    <r>
      <rPr>
        <sz val="10"/>
        <color theme="1"/>
        <rFont val="Arial"/>
        <family val="2"/>
      </rPr>
      <t xml:space="preserve">Lighting at BOH (Furnish and Install by GC) </t>
    </r>
    <r>
      <rPr>
        <b/>
        <sz val="10"/>
        <color theme="1"/>
        <rFont val="Arial"/>
        <family val="2"/>
      </rPr>
      <t>(Included in above number)</t>
    </r>
  </si>
  <si>
    <r>
      <rPr>
        <sz val="10"/>
        <color theme="1"/>
        <rFont val="Arial"/>
        <family val="2"/>
      </rPr>
      <t xml:space="preserve">ELECTRICAL Furnish and Install: Tele-data, WAPS (pull wires only), Floor Boxes, </t>
    </r>
    <r>
      <rPr>
        <b/>
        <sz val="10"/>
        <color theme="1"/>
        <rFont val="Arial"/>
        <family val="2"/>
      </rPr>
      <t>(Included in above number)</t>
    </r>
  </si>
  <si>
    <r>
      <rPr>
        <sz val="10"/>
        <color theme="1"/>
        <rFont val="Arial"/>
        <family val="2"/>
      </rPr>
      <t xml:space="preserve">ELECTRICAL CCTV - wires supplied by owners vendor, GC to pull, termination by vendor </t>
    </r>
    <r>
      <rPr>
        <b/>
        <sz val="10"/>
        <color theme="1"/>
        <rFont val="Arial"/>
        <family val="2"/>
      </rPr>
      <t>(Included in above number)</t>
    </r>
  </si>
  <si>
    <r>
      <rPr>
        <sz val="10"/>
        <color theme="1"/>
        <rFont val="Arial"/>
        <family val="2"/>
      </rPr>
      <t xml:space="preserve">ELECTRICAL AV - speaker and wire supplied by owner's vendor, GC to install speaker and pull wire, termination by vendor </t>
    </r>
    <r>
      <rPr>
        <b/>
        <sz val="10"/>
        <color theme="1"/>
        <rFont val="Arial"/>
        <family val="2"/>
      </rPr>
      <t>(Included in above number)</t>
    </r>
  </si>
  <si>
    <r>
      <rPr>
        <sz val="10"/>
        <color theme="1"/>
        <rFont val="Arial"/>
        <family val="2"/>
      </rPr>
      <t xml:space="preserve">Shopper tracker_ Cabling by GC (termination by owner vendor ) </t>
    </r>
    <r>
      <rPr>
        <b/>
        <sz val="10"/>
        <color theme="1"/>
        <rFont val="Arial"/>
        <family val="2"/>
      </rPr>
      <t>(Included in above number)</t>
    </r>
  </si>
  <si>
    <r>
      <rPr>
        <sz val="10"/>
        <color theme="1"/>
        <rFont val="Arial"/>
        <family val="2"/>
      </rPr>
      <t>EAS_ Cabling by GC (termination by vendor) coordination by GC</t>
    </r>
    <r>
      <rPr>
        <b/>
        <sz val="10"/>
        <color theme="1"/>
        <rFont val="Arial"/>
        <family val="2"/>
      </rPr>
      <t xml:space="preserve"> (Included in above number)</t>
    </r>
  </si>
  <si>
    <t xml:space="preserve">Electrical driver labeling (coordination by GC) </t>
  </si>
  <si>
    <t xml:space="preserve">Electrical permit and fees </t>
  </si>
  <si>
    <t xml:space="preserve">Smart meter_ Provided by owner vendor installed by GC </t>
  </si>
  <si>
    <r>
      <rPr>
        <sz val="10"/>
        <color theme="1"/>
        <rFont val="Arial"/>
        <family val="2"/>
      </rPr>
      <t xml:space="preserve">Fire Alarm </t>
    </r>
    <r>
      <rPr>
        <b/>
        <sz val="10"/>
        <color theme="1"/>
        <rFont val="Arial"/>
        <family val="2"/>
      </rPr>
      <t>(Includes putting the system in test during install)</t>
    </r>
  </si>
  <si>
    <t xml:space="preserve">Permits and Fees for Fire Alarm </t>
  </si>
  <si>
    <t>SUBTOTAL</t>
  </si>
  <si>
    <t>GENERAL CONTRACTOR COSTS</t>
  </si>
  <si>
    <t>010000</t>
  </si>
  <si>
    <t>General Conditions to include:</t>
  </si>
  <si>
    <t>Project Executive</t>
  </si>
  <si>
    <t>Project Manager</t>
  </si>
  <si>
    <t>Weeks</t>
  </si>
  <si>
    <t>Site Super</t>
  </si>
  <si>
    <t>Site Laborer</t>
  </si>
  <si>
    <t>4@2000</t>
  </si>
  <si>
    <t>4@4000</t>
  </si>
  <si>
    <t xml:space="preserve">Field Staff Expenses (travel lodging, reimbursables) </t>
  </si>
  <si>
    <t>7 visits</t>
  </si>
  <si>
    <t xml:space="preserve">Operational and head office cost </t>
  </si>
  <si>
    <t xml:space="preserve">TAXES </t>
  </si>
  <si>
    <t>OVERHEAD and FEE</t>
  </si>
  <si>
    <t>Markup</t>
  </si>
  <si>
    <t>INSURANCE</t>
  </si>
  <si>
    <t>GRAND TOTAL</t>
  </si>
  <si>
    <t>OTHER MISCELLANEOUS</t>
  </si>
  <si>
    <t>% on Change orders, incl. insurance</t>
  </si>
  <si>
    <t>Additional week of General Conditions</t>
  </si>
  <si>
    <t xml:space="preserve">Supervision for Saturday During Millwork Installation </t>
  </si>
  <si>
    <t>Inc.</t>
  </si>
  <si>
    <t>Allowance - Additionl permit fees above allowance will be a pass through expense at no markup</t>
  </si>
  <si>
    <t>UL Listing of exterior signage included below, Millwork UL listing as alternate below</t>
  </si>
  <si>
    <t xml:space="preserve">FLOOR: Basaltite- 1197mmx11587mm Basaltina Marble Floor Tiles;  </t>
  </si>
  <si>
    <t>Land Lord attic stock tile or stone - Assumes 162 SQFT and $34.00/SQFT for Material</t>
  </si>
  <si>
    <t>Included in framing number below and breakout numbers below</t>
  </si>
  <si>
    <t>Add Alternate - Security mesh at corridor demising wall</t>
  </si>
  <si>
    <r>
      <t xml:space="preserve">Shop drawings and Coordination up to 3 revisions </t>
    </r>
    <r>
      <rPr>
        <b/>
        <sz val="10"/>
        <color theme="1"/>
        <rFont val="Arial"/>
        <family val="2"/>
      </rPr>
      <t>(Included in fire alarm pricing above)</t>
    </r>
  </si>
  <si>
    <r>
      <t xml:space="preserve">ELECTRICAL Lighting drivers; Furnish and Install ALL in scope of work </t>
    </r>
    <r>
      <rPr>
        <b/>
        <sz val="10"/>
        <color theme="1"/>
        <rFont val="Arial"/>
        <family val="2"/>
      </rPr>
      <t>(114 drivers includes 5 spares)</t>
    </r>
  </si>
  <si>
    <r>
      <t xml:space="preserve">Internal Doors Hardware and  Lockset Supply and Install </t>
    </r>
    <r>
      <rPr>
        <b/>
        <sz val="10"/>
        <color theme="1"/>
        <rFont val="Arial"/>
        <family val="2"/>
      </rPr>
      <t>(Door #08 and Door to unusable space)</t>
    </r>
  </si>
  <si>
    <t>This proposal excludes all governmental taxes, development charges, impact fees, utility fees, and other jurisdictional assessments unless specifically noted otherwise.</t>
  </si>
  <si>
    <t>LBC holds each sub to daily cleaning before they leave so this is covered in the bid</t>
  </si>
  <si>
    <r>
      <t xml:space="preserve">Barricade installation and Removal + Coordination of installation of Barricade Graphic  (include making good LL finishes including LL tiles, transitions and finishes) - </t>
    </r>
    <r>
      <rPr>
        <b/>
        <sz val="10"/>
        <color theme="1"/>
        <rFont val="Arial"/>
        <family val="2"/>
      </rPr>
      <t>Touch up finishes after barricade is removed and Barricade rental.  Barricade graphics are to be supplied by Celine</t>
    </r>
  </si>
  <si>
    <t>Samples including level 5 drywall finish are included</t>
  </si>
  <si>
    <t>Revised per request from Celine - Storage and Receiving</t>
  </si>
  <si>
    <t>Level 5 finish mock up requested by Celine - Included in price and confrimed by subcontractor</t>
  </si>
  <si>
    <t>Install for Landlord attic stock tile listed below</t>
  </si>
  <si>
    <t>Supply of Landlord attic stock tile - 4 courses of tile</t>
  </si>
  <si>
    <r>
      <t xml:space="preserve">Electrical testing and commissioning </t>
    </r>
    <r>
      <rPr>
        <b/>
        <sz val="10"/>
        <color theme="1"/>
        <rFont val="Arial"/>
        <family val="2"/>
      </rPr>
      <t>(Intertek UL Certification)</t>
    </r>
  </si>
  <si>
    <t>UL Certification of low voltage lighting installed in millwork fixtures</t>
  </si>
  <si>
    <t xml:space="preserve"> Entry doors included in pricing</t>
  </si>
  <si>
    <t>5 point electrified lock included in pricing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</si>
</sst>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mm/dd/yy"/>
    <numFmt numFmtId="165" formatCode="[$-409]mmmm\ d\,\ yyyy"/>
    <numFmt numFmtId="166" formatCode="&quot;$&quot;#,##0.00"/>
    <numFmt numFmtId="167" formatCode="&quot;$&quot;#,##0"/>
    <numFmt numFmtId="168" formatCode="0.0%"/>
  </numFmts>
  <fonts count="2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11"/>
      <color rgb="FFFFFFFF"/>
      <name val="Calibri"/>
      <family val="2"/>
    </font>
    <font>
      <sz val="10"/>
      <color rgb="FFFFFFFF"/>
      <name val="Arial"/>
      <family val="2"/>
    </font>
    <font>
      <b/>
      <sz val="10"/>
      <color rgb="FFFF0000"/>
      <name val="Arial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FF0000"/>
      <name val="Arial"/>
      <family val="2"/>
    </font>
    <font>
      <u/>
      <sz val="10"/>
      <color theme="1"/>
      <name val="Arial"/>
      <family val="2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theme="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EFDC3"/>
        <bgColor rgb="FFEEFDC3"/>
      </patternFill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  <fill>
      <patternFill patternType="solid">
        <fgColor rgb="FFFFD5D5"/>
        <bgColor rgb="FFFFD5D5"/>
      </patternFill>
    </fill>
    <fill>
      <patternFill patternType="solid">
        <fgColor rgb="FFB6DDE8"/>
        <bgColor rgb="FFB6DDE8"/>
      </patternFill>
    </fill>
    <fill>
      <patternFill patternType="solid">
        <fgColor rgb="FFFBD4B4"/>
        <bgColor rgb="FFFBD4B4"/>
      </patternFill>
    </fill>
    <fill>
      <patternFill patternType="solid">
        <fgColor theme="0"/>
        <bgColor rgb="FF000000"/>
      </patternFill>
    </fill>
    <fill>
      <patternFill patternType="solid">
        <fgColor theme="1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1"/>
        <bgColor theme="0"/>
      </patternFill>
    </fill>
  </fills>
  <borders count="3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48">
    <xf numFmtId="0" fontId="0" fillId="0" borderId="0" xfId="0"/>
    <xf numFmtId="1" fontId="2" fillId="0" borderId="0" xfId="0" applyNumberFormat="1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/>
    <xf numFmtId="0" fontId="3" fillId="0" borderId="2" xfId="0" applyFont="1" applyBorder="1"/>
    <xf numFmtId="0" fontId="4" fillId="0" borderId="2" xfId="0" applyFont="1" applyBorder="1"/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3" xfId="0" applyFont="1" applyBorder="1" applyAlignment="1">
      <alignment horizontal="left" vertical="center"/>
    </xf>
    <xf numFmtId="0" fontId="4" fillId="0" borderId="4" xfId="0" applyFont="1" applyBorder="1"/>
    <xf numFmtId="44" fontId="5" fillId="0" borderId="4" xfId="0" applyNumberFormat="1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44" fontId="5" fillId="0" borderId="5" xfId="0" applyNumberFormat="1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4" fillId="0" borderId="0" xfId="0" applyFont="1"/>
    <xf numFmtId="44" fontId="5" fillId="0" borderId="0" xfId="0" applyNumberFormat="1" applyFont="1" applyAlignment="1">
      <alignment horizontal="left" vertical="center" wrapText="1"/>
    </xf>
    <xf numFmtId="164" fontId="6" fillId="0" borderId="0" xfId="0" applyNumberFormat="1" applyFont="1" applyAlignment="1">
      <alignment horizontal="center" vertical="center"/>
    </xf>
    <xf numFmtId="44" fontId="5" fillId="0" borderId="7" xfId="0" applyNumberFormat="1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/>
    </xf>
    <xf numFmtId="0" fontId="4" fillId="2" borderId="8" xfId="0" applyFont="1" applyFill="1" applyBorder="1"/>
    <xf numFmtId="165" fontId="5" fillId="0" borderId="0" xfId="0" quotePrefix="1" applyNumberFormat="1" applyFont="1" applyAlignment="1">
      <alignment horizontal="center" vertical="center"/>
    </xf>
    <xf numFmtId="0" fontId="3" fillId="0" borderId="6" xfId="0" applyFont="1" applyBorder="1"/>
    <xf numFmtId="164" fontId="6" fillId="0" borderId="0" xfId="0" applyNumberFormat="1" applyFont="1" applyAlignment="1">
      <alignment horizontal="center"/>
    </xf>
    <xf numFmtId="0" fontId="3" fillId="0" borderId="9" xfId="0" applyFont="1" applyBorder="1"/>
    <xf numFmtId="0" fontId="4" fillId="0" borderId="10" xfId="0" applyFont="1" applyBorder="1"/>
    <xf numFmtId="44" fontId="5" fillId="0" borderId="10" xfId="0" applyNumberFormat="1" applyFont="1" applyBorder="1" applyAlignment="1">
      <alignment horizontal="left" vertical="center" wrapText="1"/>
    </xf>
    <xf numFmtId="164" fontId="7" fillId="0" borderId="10" xfId="0" applyNumberFormat="1" applyFont="1" applyBorder="1" applyAlignment="1">
      <alignment horizontal="center"/>
    </xf>
    <xf numFmtId="44" fontId="5" fillId="0" borderId="11" xfId="0" applyNumberFormat="1" applyFont="1" applyBorder="1" applyAlignment="1">
      <alignment horizontal="left" vertical="center" wrapText="1"/>
    </xf>
    <xf numFmtId="164" fontId="7" fillId="0" borderId="0" xfId="0" applyNumberFormat="1" applyFont="1" applyAlignment="1">
      <alignment horizontal="center"/>
    </xf>
    <xf numFmtId="0" fontId="4" fillId="0" borderId="0" xfId="0" applyFont="1" applyAlignment="1">
      <alignment horizontal="right"/>
    </xf>
    <xf numFmtId="4" fontId="7" fillId="0" borderId="0" xfId="0" applyNumberFormat="1" applyFont="1" applyAlignment="1">
      <alignment horizontal="center"/>
    </xf>
    <xf numFmtId="0" fontId="6" fillId="0" borderId="0" xfId="0" applyFont="1"/>
    <xf numFmtId="0" fontId="5" fillId="0" borderId="0" xfId="0" applyFont="1"/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4" fontId="6" fillId="0" borderId="0" xfId="0" applyNumberFormat="1" applyFont="1"/>
    <xf numFmtId="1" fontId="6" fillId="0" borderId="0" xfId="0" applyNumberFormat="1" applyFont="1"/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5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5" fillId="0" borderId="14" xfId="0" applyFont="1" applyBorder="1" applyAlignment="1">
      <alignment horizontal="center" vertical="center" wrapText="1"/>
    </xf>
    <xf numFmtId="0" fontId="10" fillId="0" borderId="0" xfId="0" applyFont="1"/>
    <xf numFmtId="166" fontId="5" fillId="3" borderId="18" xfId="0" applyNumberFormat="1" applyFont="1" applyFill="1" applyBorder="1"/>
    <xf numFmtId="0" fontId="5" fillId="3" borderId="18" xfId="0" applyFont="1" applyFill="1" applyBorder="1" applyAlignment="1">
      <alignment horizontal="center"/>
    </xf>
    <xf numFmtId="0" fontId="10" fillId="3" borderId="18" xfId="0" applyFont="1" applyFill="1" applyBorder="1" applyAlignment="1">
      <alignment horizontal="center"/>
    </xf>
    <xf numFmtId="0" fontId="11" fillId="0" borderId="0" xfId="0" applyFont="1"/>
    <xf numFmtId="49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wrapText="1"/>
    </xf>
    <xf numFmtId="166" fontId="6" fillId="0" borderId="0" xfId="0" applyNumberFormat="1" applyFont="1" applyAlignment="1">
      <alignment horizontal="center" vertical="center" wrapText="1"/>
    </xf>
    <xf numFmtId="166" fontId="6" fillId="4" borderId="8" xfId="0" applyNumberFormat="1" applyFont="1" applyFill="1" applyBorder="1"/>
    <xf numFmtId="0" fontId="11" fillId="0" borderId="0" xfId="0" applyFont="1" applyAlignment="1">
      <alignment horizontal="center" vertical="center" wrapText="1"/>
    </xf>
    <xf numFmtId="166" fontId="6" fillId="0" borderId="0" xfId="0" applyNumberFormat="1" applyFont="1"/>
    <xf numFmtId="0" fontId="12" fillId="0" borderId="0" xfId="0" applyFont="1"/>
    <xf numFmtId="0" fontId="13" fillId="5" borderId="8" xfId="0" applyFont="1" applyFill="1" applyBorder="1"/>
    <xf numFmtId="0" fontId="2" fillId="5" borderId="8" xfId="0" applyFont="1" applyFill="1" applyBorder="1"/>
    <xf numFmtId="0" fontId="13" fillId="4" borderId="8" xfId="0" applyFont="1" applyFill="1" applyBorder="1"/>
    <xf numFmtId="0" fontId="13" fillId="4" borderId="8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left" vertical="center"/>
    </xf>
    <xf numFmtId="0" fontId="2" fillId="0" borderId="0" xfId="0" applyFont="1"/>
    <xf numFmtId="167" fontId="2" fillId="0" borderId="0" xfId="0" applyNumberFormat="1" applyFont="1"/>
    <xf numFmtId="0" fontId="6" fillId="0" borderId="0" xfId="0" applyFont="1" applyAlignment="1">
      <alignment horizontal="left" vertical="center" wrapText="1"/>
    </xf>
    <xf numFmtId="0" fontId="12" fillId="0" borderId="0" xfId="0" applyFont="1" applyAlignment="1">
      <alignment wrapText="1"/>
    </xf>
    <xf numFmtId="0" fontId="12" fillId="0" borderId="0" xfId="0" applyFont="1" applyAlignment="1">
      <alignment horizontal="left" wrapText="1"/>
    </xf>
    <xf numFmtId="0" fontId="12" fillId="0" borderId="0" xfId="0" applyFont="1" applyAlignment="1">
      <alignment horizontal="left" vertical="center"/>
    </xf>
    <xf numFmtId="167" fontId="11" fillId="0" borderId="0" xfId="0" applyNumberFormat="1" applyFont="1" applyAlignment="1">
      <alignment wrapText="1"/>
    </xf>
    <xf numFmtId="167" fontId="13" fillId="4" borderId="8" xfId="0" applyNumberFormat="1" applyFont="1" applyFill="1" applyBorder="1"/>
    <xf numFmtId="0" fontId="6" fillId="0" borderId="0" xfId="0" applyFont="1" applyAlignment="1">
      <alignment horizontal="left"/>
    </xf>
    <xf numFmtId="0" fontId="14" fillId="4" borderId="8" xfId="0" applyFont="1" applyFill="1" applyBorder="1" applyAlignment="1">
      <alignment horizontal="left" vertical="center"/>
    </xf>
    <xf numFmtId="166" fontId="14" fillId="4" borderId="8" xfId="0" applyNumberFormat="1" applyFont="1" applyFill="1" applyBorder="1"/>
    <xf numFmtId="1" fontId="5" fillId="0" borderId="0" xfId="0" applyNumberFormat="1" applyFont="1"/>
    <xf numFmtId="0" fontId="11" fillId="0" borderId="0" xfId="0" applyFont="1" applyAlignment="1">
      <alignment wrapText="1"/>
    </xf>
    <xf numFmtId="167" fontId="2" fillId="4" borderId="8" xfId="0" applyNumberFormat="1" applyFont="1" applyFill="1" applyBorder="1"/>
    <xf numFmtId="1" fontId="6" fillId="4" borderId="8" xfId="0" applyNumberFormat="1" applyFont="1" applyFill="1" applyBorder="1"/>
    <xf numFmtId="0" fontId="6" fillId="4" borderId="8" xfId="0" applyFont="1" applyFill="1" applyBorder="1"/>
    <xf numFmtId="0" fontId="6" fillId="4" borderId="8" xfId="0" applyFont="1" applyFill="1" applyBorder="1" applyAlignment="1">
      <alignment wrapText="1"/>
    </xf>
    <xf numFmtId="0" fontId="6" fillId="0" borderId="0" xfId="0" applyFont="1" applyAlignment="1">
      <alignment wrapText="1"/>
    </xf>
    <xf numFmtId="1" fontId="15" fillId="0" borderId="0" xfId="0" applyNumberFormat="1" applyFont="1"/>
    <xf numFmtId="167" fontId="16" fillId="0" borderId="0" xfId="0" applyNumberFormat="1" applyFont="1"/>
    <xf numFmtId="0" fontId="6" fillId="0" borderId="0" xfId="0" applyFont="1" applyAlignment="1">
      <alignment horizontal="right"/>
    </xf>
    <xf numFmtId="0" fontId="6" fillId="4" borderId="8" xfId="0" applyFont="1" applyFill="1" applyBorder="1" applyAlignment="1">
      <alignment horizontal="left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7" fillId="4" borderId="8" xfId="0" applyFont="1" applyFill="1" applyBorder="1" applyAlignment="1">
      <alignment horizontal="center"/>
    </xf>
    <xf numFmtId="0" fontId="13" fillId="4" borderId="8" xfId="0" applyFont="1" applyFill="1" applyBorder="1" applyAlignment="1">
      <alignment horizontal="center" vertical="center"/>
    </xf>
    <xf numFmtId="0" fontId="14" fillId="4" borderId="8" xfId="0" applyFont="1" applyFill="1" applyBorder="1" applyAlignment="1">
      <alignment horizontal="center" vertical="center"/>
    </xf>
    <xf numFmtId="166" fontId="14" fillId="4" borderId="8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67" fontId="2" fillId="0" borderId="0" xfId="0" applyNumberFormat="1" applyFont="1" applyAlignment="1">
      <alignment horizontal="left"/>
    </xf>
    <xf numFmtId="0" fontId="2" fillId="6" borderId="20" xfId="0" applyFont="1" applyFill="1" applyBorder="1" applyAlignment="1">
      <alignment horizontal="center"/>
    </xf>
    <xf numFmtId="0" fontId="6" fillId="6" borderId="20" xfId="0" applyFont="1" applyFill="1" applyBorder="1" applyAlignment="1">
      <alignment horizontal="center"/>
    </xf>
    <xf numFmtId="166" fontId="5" fillId="6" borderId="21" xfId="0" applyNumberFormat="1" applyFont="1" applyFill="1" applyBorder="1"/>
    <xf numFmtId="166" fontId="5" fillId="7" borderId="25" xfId="0" applyNumberFormat="1" applyFont="1" applyFill="1" applyBorder="1"/>
    <xf numFmtId="166" fontId="6" fillId="0" borderId="26" xfId="0" applyNumberFormat="1" applyFont="1" applyBorder="1"/>
    <xf numFmtId="0" fontId="6" fillId="0" borderId="0" xfId="0" applyFont="1" applyAlignment="1">
      <alignment vertical="center" wrapText="1"/>
    </xf>
    <xf numFmtId="166" fontId="6" fillId="0" borderId="27" xfId="0" applyNumberFormat="1" applyFont="1" applyBorder="1"/>
    <xf numFmtId="167" fontId="2" fillId="0" borderId="0" xfId="0" applyNumberFormat="1" applyFont="1" applyAlignment="1">
      <alignment horizontal="center"/>
    </xf>
    <xf numFmtId="166" fontId="6" fillId="4" borderId="28" xfId="0" applyNumberFormat="1" applyFont="1" applyFill="1" applyBorder="1"/>
    <xf numFmtId="0" fontId="13" fillId="0" borderId="0" xfId="0" applyFont="1" applyAlignment="1">
      <alignment horizontal="center"/>
    </xf>
    <xf numFmtId="9" fontId="13" fillId="0" borderId="0" xfId="0" applyNumberFormat="1" applyFont="1" applyAlignment="1">
      <alignment horizontal="center"/>
    </xf>
    <xf numFmtId="167" fontId="13" fillId="0" borderId="0" xfId="0" applyNumberFormat="1" applyFont="1" applyAlignment="1">
      <alignment horizontal="center"/>
    </xf>
    <xf numFmtId="166" fontId="6" fillId="0" borderId="29" xfId="0" applyNumberFormat="1" applyFont="1" applyBorder="1"/>
    <xf numFmtId="166" fontId="6" fillId="6" borderId="21" xfId="0" applyNumberFormat="1" applyFont="1" applyFill="1" applyBorder="1"/>
    <xf numFmtId="166" fontId="5" fillId="8" borderId="18" xfId="0" applyNumberFormat="1" applyFont="1" applyFill="1" applyBorder="1"/>
    <xf numFmtId="10" fontId="14" fillId="5" borderId="8" xfId="0" applyNumberFormat="1" applyFont="1" applyFill="1" applyBorder="1" applyAlignment="1">
      <alignment horizontal="center"/>
    </xf>
    <xf numFmtId="168" fontId="6" fillId="0" borderId="0" xfId="0" applyNumberFormat="1" applyFont="1"/>
    <xf numFmtId="167" fontId="14" fillId="5" borderId="8" xfId="0" applyNumberFormat="1" applyFont="1" applyFill="1" applyBorder="1" applyAlignment="1">
      <alignment horizontal="center"/>
    </xf>
    <xf numFmtId="0" fontId="14" fillId="5" borderId="8" xfId="0" applyFont="1" applyFill="1" applyBorder="1" applyAlignment="1">
      <alignment horizontal="center"/>
    </xf>
    <xf numFmtId="0" fontId="2" fillId="9" borderId="8" xfId="0" applyFont="1" applyFill="1" applyBorder="1"/>
    <xf numFmtId="0" fontId="13" fillId="10" borderId="8" xfId="0" applyFont="1" applyFill="1" applyBorder="1"/>
    <xf numFmtId="0" fontId="2" fillId="10" borderId="8" xfId="0" applyFont="1" applyFill="1" applyBorder="1"/>
    <xf numFmtId="0" fontId="0" fillId="11" borderId="0" xfId="0" applyFill="1"/>
    <xf numFmtId="0" fontId="0" fillId="12" borderId="0" xfId="0" applyFill="1"/>
    <xf numFmtId="0" fontId="13" fillId="9" borderId="8" xfId="0" applyFont="1" applyFill="1" applyBorder="1" applyAlignment="1">
      <alignment vertical="center"/>
    </xf>
    <xf numFmtId="0" fontId="20" fillId="11" borderId="0" xfId="0" applyFont="1" applyFill="1"/>
    <xf numFmtId="1" fontId="21" fillId="0" borderId="0" xfId="0" applyNumberFormat="1" applyFont="1"/>
    <xf numFmtId="0" fontId="21" fillId="0" borderId="0" xfId="0" applyFont="1"/>
    <xf numFmtId="0" fontId="21" fillId="0" borderId="0" xfId="0" applyFont="1" applyAlignment="1">
      <alignment horizontal="left"/>
    </xf>
    <xf numFmtId="0" fontId="1" fillId="0" borderId="0" xfId="0" applyFont="1"/>
    <xf numFmtId="166" fontId="6" fillId="12" borderId="0" xfId="0" applyNumberFormat="1" applyFont="1" applyFill="1"/>
    <xf numFmtId="0" fontId="22" fillId="11" borderId="0" xfId="0" applyFont="1" applyFill="1"/>
    <xf numFmtId="0" fontId="13" fillId="10" borderId="8" xfId="0" applyFont="1" applyFill="1" applyBorder="1" applyAlignment="1">
      <alignment horizontal="left" vertical="center"/>
    </xf>
    <xf numFmtId="0" fontId="2" fillId="13" borderId="8" xfId="0" applyFont="1" applyFill="1" applyBorder="1"/>
    <xf numFmtId="167" fontId="22" fillId="11" borderId="0" xfId="0" applyNumberFormat="1" applyFont="1" applyFill="1"/>
    <xf numFmtId="167" fontId="22" fillId="14" borderId="8" xfId="0" applyNumberFormat="1" applyFont="1" applyFill="1" applyBorder="1"/>
    <xf numFmtId="167" fontId="22" fillId="12" borderId="0" xfId="0" applyNumberFormat="1" applyFont="1" applyFill="1"/>
    <xf numFmtId="0" fontId="5" fillId="0" borderId="10" xfId="0" applyFont="1" applyBorder="1" applyAlignment="1">
      <alignment horizontal="center"/>
    </xf>
    <xf numFmtId="0" fontId="9" fillId="0" borderId="10" xfId="0" applyFont="1" applyBorder="1"/>
    <xf numFmtId="1" fontId="5" fillId="3" borderId="15" xfId="0" applyNumberFormat="1" applyFont="1" applyFill="1" applyBorder="1"/>
    <xf numFmtId="0" fontId="9" fillId="0" borderId="16" xfId="0" applyFont="1" applyBorder="1"/>
    <xf numFmtId="0" fontId="9" fillId="0" borderId="17" xfId="0" applyFont="1" applyBorder="1"/>
    <xf numFmtId="0" fontId="5" fillId="0" borderId="0" xfId="0" applyFont="1"/>
    <xf numFmtId="0" fontId="0" fillId="0" borderId="0" xfId="0"/>
    <xf numFmtId="1" fontId="5" fillId="7" borderId="22" xfId="0" applyNumberFormat="1" applyFont="1" applyFill="1" applyBorder="1"/>
    <xf numFmtId="0" fontId="9" fillId="0" borderId="23" xfId="0" applyFont="1" applyBorder="1"/>
    <xf numFmtId="0" fontId="9" fillId="0" borderId="24" xfId="0" applyFont="1" applyBorder="1"/>
    <xf numFmtId="0" fontId="5" fillId="0" borderId="10" xfId="0" applyFont="1" applyBorder="1"/>
    <xf numFmtId="0" fontId="5" fillId="6" borderId="12" xfId="0" applyFont="1" applyFill="1" applyBorder="1" applyAlignment="1">
      <alignment horizontal="right"/>
    </xf>
    <xf numFmtId="0" fontId="9" fillId="0" borderId="13" xfId="0" applyFont="1" applyBorder="1"/>
    <xf numFmtId="0" fontId="9" fillId="0" borderId="19" xfId="0" applyFont="1" applyBorder="1"/>
    <xf numFmtId="1" fontId="5" fillId="8" borderId="15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352425</xdr:colOff>
      <xdr:row>1</xdr:row>
      <xdr:rowOff>228600</xdr:rowOff>
    </xdr:from>
    <xdr:ext cx="971550" cy="3905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7"/>
  <sheetViews>
    <sheetView tabSelected="1" workbookViewId="0">
      <selection activeCell="J91" sqref="J91"/>
    </sheetView>
  </sheetViews>
  <sheetFormatPr defaultColWidth="14.44140625" defaultRowHeight="15" customHeight="1" x14ac:dyDescent="0.3"/>
  <cols>
    <col min="1" max="1" width="5.109375" customWidth="1"/>
    <col min="2" max="2" width="23.44140625" customWidth="1"/>
    <col min="3" max="3" width="3.6640625" customWidth="1"/>
    <col min="4" max="4" width="53.6640625" customWidth="1"/>
    <col min="5" max="5" width="14.6640625" customWidth="1"/>
    <col min="6" max="6" width="18.5546875" customWidth="1"/>
    <col min="7" max="7" width="38.6640625" customWidth="1"/>
    <col min="8" max="8" width="14.6640625" customWidth="1"/>
    <col min="9" max="9" width="10.33203125" customWidth="1"/>
    <col min="10" max="10" width="11" customWidth="1"/>
    <col min="11" max="11" width="9.5546875" customWidth="1"/>
    <col min="12" max="12" width="9.88671875" customWidth="1"/>
    <col min="13" max="13" width="13" customWidth="1"/>
    <col min="14" max="14" width="8.6640625" customWidth="1"/>
    <col min="15" max="15" width="10.33203125" customWidth="1"/>
    <col min="16" max="26" width="8.6640625" customWidth="1"/>
  </cols>
  <sheetData>
    <row r="1" spans="1:26" ht="14.25" customHeight="1" x14ac:dyDescent="0.3">
      <c r="C1" s="1"/>
      <c r="F1" s="2"/>
      <c r="G1" s="3"/>
    </row>
    <row r="2" spans="1:26" ht="64.5" customHeight="1" x14ac:dyDescent="0.3">
      <c r="A2" s="4"/>
      <c r="B2" s="5"/>
      <c r="C2" s="6"/>
      <c r="D2" s="6"/>
      <c r="E2" s="6"/>
      <c r="F2" s="7"/>
      <c r="G2" s="8"/>
      <c r="H2" s="6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5.8" customHeight="1" x14ac:dyDescent="0.3">
      <c r="A3" s="4"/>
      <c r="B3" s="9" t="s">
        <v>0</v>
      </c>
      <c r="C3" s="10"/>
      <c r="D3" s="10" t="s">
        <v>1</v>
      </c>
      <c r="E3" s="11" t="s">
        <v>2</v>
      </c>
      <c r="F3" s="12" t="s">
        <v>3</v>
      </c>
      <c r="G3" s="11"/>
      <c r="H3" s="1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 x14ac:dyDescent="0.3">
      <c r="A4" s="4"/>
      <c r="B4" s="14" t="s">
        <v>4</v>
      </c>
      <c r="C4" s="15"/>
      <c r="D4" s="15" t="s">
        <v>5</v>
      </c>
      <c r="E4" s="16" t="s">
        <v>6</v>
      </c>
      <c r="F4" s="17">
        <v>46003</v>
      </c>
      <c r="G4" s="16"/>
      <c r="H4" s="18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 x14ac:dyDescent="0.3">
      <c r="A5" s="4"/>
      <c r="B5" s="19" t="s">
        <v>7</v>
      </c>
      <c r="C5" s="15"/>
      <c r="D5" s="20" t="s">
        <v>8</v>
      </c>
      <c r="E5" s="16" t="s">
        <v>9</v>
      </c>
      <c r="F5" s="21" t="s">
        <v>10</v>
      </c>
      <c r="G5" s="16"/>
      <c r="H5" s="18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 x14ac:dyDescent="0.3">
      <c r="A6" s="4"/>
      <c r="B6" s="22"/>
      <c r="C6" s="15"/>
      <c r="D6" s="15"/>
      <c r="E6" s="16" t="s">
        <v>11</v>
      </c>
      <c r="F6" s="23">
        <v>46031</v>
      </c>
      <c r="G6" s="16"/>
      <c r="H6" s="18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 x14ac:dyDescent="0.3">
      <c r="A7" s="4"/>
      <c r="B7" s="24"/>
      <c r="C7" s="25"/>
      <c r="D7" s="25"/>
      <c r="E7" s="26"/>
      <c r="F7" s="27"/>
      <c r="G7" s="26"/>
      <c r="H7" s="28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 x14ac:dyDescent="0.3">
      <c r="A8" s="4"/>
      <c r="B8" s="4"/>
      <c r="C8" s="15"/>
      <c r="D8" s="15"/>
      <c r="E8" s="16"/>
      <c r="F8" s="29"/>
      <c r="G8" s="8"/>
      <c r="H8" s="16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 x14ac:dyDescent="0.3">
      <c r="A9" s="4"/>
      <c r="B9" s="30" t="s">
        <v>12</v>
      </c>
      <c r="C9" s="15"/>
      <c r="D9" s="15"/>
      <c r="E9" s="16"/>
      <c r="F9" s="31"/>
      <c r="G9" s="8"/>
      <c r="H9" s="16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 x14ac:dyDescent="0.3">
      <c r="A10" s="4"/>
      <c r="B10" s="32"/>
      <c r="C10" s="33"/>
      <c r="D10" s="34" t="s">
        <v>13</v>
      </c>
      <c r="E10" s="33"/>
      <c r="F10" s="35"/>
      <c r="G10" s="8"/>
      <c r="H10" s="33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 x14ac:dyDescent="0.3">
      <c r="A11" s="4"/>
      <c r="B11" s="32"/>
      <c r="C11" s="33"/>
      <c r="D11" s="34" t="s">
        <v>14</v>
      </c>
      <c r="E11" s="36"/>
      <c r="F11" s="37"/>
      <c r="G11" s="8"/>
      <c r="H11" s="36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 x14ac:dyDescent="0.3">
      <c r="B12" s="38"/>
      <c r="C12" s="39"/>
      <c r="D12" s="34" t="s">
        <v>15</v>
      </c>
      <c r="E12" s="36"/>
      <c r="F12" s="37"/>
      <c r="G12" s="2"/>
      <c r="H12" s="36"/>
    </row>
    <row r="13" spans="1:26" ht="14.25" customHeight="1" x14ac:dyDescent="0.3">
      <c r="B13" s="38"/>
      <c r="C13" s="39"/>
      <c r="D13" s="34" t="s">
        <v>16</v>
      </c>
      <c r="E13" s="36"/>
      <c r="F13" s="37"/>
      <c r="G13" s="2"/>
      <c r="H13" s="36"/>
    </row>
    <row r="14" spans="1:26" ht="14.25" customHeight="1" x14ac:dyDescent="0.3">
      <c r="B14" s="38"/>
      <c r="C14" s="39"/>
      <c r="D14" s="40" t="s">
        <v>17</v>
      </c>
      <c r="E14" s="36"/>
      <c r="F14" s="37"/>
      <c r="G14" s="2"/>
      <c r="H14" s="36"/>
    </row>
    <row r="15" spans="1:26" ht="14.25" customHeight="1" x14ac:dyDescent="0.3">
      <c r="B15" s="38"/>
      <c r="C15" s="39"/>
      <c r="D15" s="41" t="s">
        <v>18</v>
      </c>
      <c r="E15" s="42"/>
      <c r="F15" s="43"/>
      <c r="G15" s="2"/>
      <c r="H15" s="42"/>
    </row>
    <row r="16" spans="1:26" ht="14.25" customHeight="1" x14ac:dyDescent="0.3">
      <c r="B16" s="38"/>
      <c r="C16" s="39"/>
      <c r="D16" s="34" t="s">
        <v>19</v>
      </c>
      <c r="E16" s="42"/>
      <c r="F16" s="43"/>
      <c r="G16" s="2"/>
      <c r="H16" s="42"/>
    </row>
    <row r="17" spans="1:26" ht="14.25" customHeight="1" x14ac:dyDescent="0.3">
      <c r="B17" s="133"/>
      <c r="C17" s="134"/>
      <c r="D17" s="134"/>
      <c r="E17" s="134"/>
      <c r="F17" s="134"/>
      <c r="G17" s="2"/>
      <c r="H17" s="2"/>
    </row>
    <row r="18" spans="1:26" ht="14.25" customHeight="1" x14ac:dyDescent="0.3">
      <c r="B18" s="33" t="s">
        <v>20</v>
      </c>
      <c r="C18" s="39"/>
      <c r="D18" s="32"/>
      <c r="E18" s="32"/>
      <c r="F18" s="35"/>
      <c r="G18" s="2"/>
      <c r="H18" s="32"/>
    </row>
    <row r="19" spans="1:26" ht="14.25" customHeight="1" x14ac:dyDescent="0.3">
      <c r="B19" s="32"/>
      <c r="C19" s="39"/>
      <c r="D19" s="32"/>
      <c r="E19" s="44" t="s">
        <v>21</v>
      </c>
      <c r="F19" s="45" t="s">
        <v>22</v>
      </c>
      <c r="G19" s="46" t="s">
        <v>23</v>
      </c>
      <c r="H19" s="47" t="s">
        <v>24</v>
      </c>
    </row>
    <row r="20" spans="1:26" ht="14.25" customHeight="1" x14ac:dyDescent="0.3">
      <c r="A20" s="48"/>
      <c r="B20" s="135" t="s">
        <v>25</v>
      </c>
      <c r="C20" s="136"/>
      <c r="D20" s="137"/>
      <c r="E20" s="49"/>
      <c r="F20" s="50" t="s">
        <v>26</v>
      </c>
      <c r="G20" s="51"/>
      <c r="H20" s="49">
        <f>SUM(H21:H34)</f>
        <v>63555</v>
      </c>
      <c r="I20" s="52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spans="1:26" ht="71.400000000000006" customHeight="1" x14ac:dyDescent="0.3">
      <c r="B21" s="53"/>
      <c r="C21" s="39"/>
      <c r="D21" s="54" t="s">
        <v>198</v>
      </c>
      <c r="E21" s="2"/>
      <c r="F21" s="2"/>
      <c r="G21" s="55"/>
      <c r="H21" s="56">
        <v>13583</v>
      </c>
      <c r="I21" s="57"/>
    </row>
    <row r="22" spans="1:26" ht="14.25" customHeight="1" x14ac:dyDescent="0.3">
      <c r="B22" s="53"/>
      <c r="C22" s="39"/>
      <c r="D22" s="39" t="s">
        <v>27</v>
      </c>
      <c r="E22" s="2"/>
      <c r="F22" s="2"/>
      <c r="G22" s="58"/>
      <c r="H22" s="56">
        <v>0</v>
      </c>
      <c r="I22" s="127" t="s">
        <v>197</v>
      </c>
      <c r="J22" s="121"/>
      <c r="K22" s="121"/>
      <c r="L22" s="121"/>
      <c r="M22" s="121"/>
      <c r="N22" s="121"/>
      <c r="O22" s="121"/>
    </row>
    <row r="23" spans="1:26" ht="14.25" customHeight="1" x14ac:dyDescent="0.3">
      <c r="B23" s="53"/>
      <c r="C23" s="39"/>
      <c r="D23" s="39" t="s">
        <v>28</v>
      </c>
      <c r="E23" s="2"/>
      <c r="F23" s="35"/>
      <c r="G23" s="58"/>
      <c r="H23" s="58">
        <v>7830</v>
      </c>
      <c r="I23" s="59"/>
    </row>
    <row r="24" spans="1:26" ht="14.25" customHeight="1" x14ac:dyDescent="0.3">
      <c r="B24" s="53"/>
      <c r="C24" s="39"/>
      <c r="D24" s="39" t="s">
        <v>29</v>
      </c>
      <c r="E24" s="2"/>
      <c r="F24" s="2"/>
      <c r="G24" s="58"/>
      <c r="H24" s="56">
        <v>10000</v>
      </c>
      <c r="I24" s="60" t="s">
        <v>187</v>
      </c>
      <c r="J24" s="61"/>
      <c r="K24" s="61"/>
      <c r="L24" s="61"/>
    </row>
    <row r="25" spans="1:26" ht="14.25" customHeight="1" x14ac:dyDescent="0.3">
      <c r="B25" s="53"/>
      <c r="C25" s="39"/>
      <c r="D25" s="39" t="s">
        <v>30</v>
      </c>
      <c r="E25" s="2"/>
      <c r="F25" s="2"/>
      <c r="G25" s="58"/>
      <c r="H25" s="58">
        <f t="shared" ref="H25" si="0">E25*G25</f>
        <v>0</v>
      </c>
    </row>
    <row r="26" spans="1:26" ht="14.25" customHeight="1" x14ac:dyDescent="0.3">
      <c r="B26" s="53"/>
      <c r="C26" s="39"/>
      <c r="D26" s="39" t="s">
        <v>31</v>
      </c>
      <c r="E26" s="2"/>
      <c r="F26" s="35"/>
      <c r="G26" s="58"/>
      <c r="H26" s="56">
        <v>3950</v>
      </c>
      <c r="I26" s="62"/>
      <c r="J26" s="62"/>
      <c r="K26" s="62"/>
      <c r="L26" s="62"/>
    </row>
    <row r="27" spans="1:26" ht="43.5" customHeight="1" x14ac:dyDescent="0.3">
      <c r="B27" s="53"/>
      <c r="C27" s="39"/>
      <c r="D27" s="54" t="s">
        <v>32</v>
      </c>
      <c r="E27" s="2"/>
      <c r="F27" s="35"/>
      <c r="G27" s="58"/>
      <c r="H27" s="58">
        <v>6500</v>
      </c>
      <c r="I27" s="63"/>
      <c r="J27" s="64"/>
      <c r="K27" s="62"/>
      <c r="L27" s="62"/>
    </row>
    <row r="28" spans="1:26" ht="19.5" customHeight="1" x14ac:dyDescent="0.3">
      <c r="B28" s="53"/>
      <c r="C28" s="39"/>
      <c r="D28" s="54" t="s">
        <v>33</v>
      </c>
      <c r="E28" s="2"/>
      <c r="F28" s="35"/>
      <c r="G28" s="58"/>
      <c r="H28" s="56">
        <v>6425</v>
      </c>
      <c r="I28" s="119"/>
      <c r="J28" s="120"/>
      <c r="K28" s="115"/>
      <c r="L28" s="115"/>
      <c r="M28" s="115"/>
    </row>
    <row r="29" spans="1:26" ht="14.25" customHeight="1" x14ac:dyDescent="0.3">
      <c r="B29" s="53"/>
      <c r="C29" s="39"/>
      <c r="D29" s="39" t="s">
        <v>34</v>
      </c>
      <c r="E29" s="2"/>
      <c r="F29" s="35"/>
      <c r="G29" s="58"/>
      <c r="H29" s="56">
        <v>4730</v>
      </c>
    </row>
    <row r="30" spans="1:26" ht="14.25" customHeight="1" x14ac:dyDescent="0.3">
      <c r="B30" s="53"/>
      <c r="C30" s="39"/>
      <c r="D30" s="54" t="s">
        <v>35</v>
      </c>
      <c r="E30" s="2"/>
      <c r="F30" s="35"/>
      <c r="G30" s="58"/>
      <c r="H30" s="56">
        <v>2800</v>
      </c>
      <c r="I30" s="65"/>
    </row>
    <row r="31" spans="1:26" ht="14.25" customHeight="1" x14ac:dyDescent="0.3">
      <c r="B31" s="53"/>
      <c r="C31" s="39"/>
      <c r="D31" s="54" t="s">
        <v>36</v>
      </c>
      <c r="E31" s="2"/>
      <c r="F31" s="35"/>
      <c r="G31" s="58"/>
      <c r="H31" s="58">
        <v>3862</v>
      </c>
    </row>
    <row r="32" spans="1:26" ht="14.25" customHeight="1" x14ac:dyDescent="0.3">
      <c r="B32" s="53"/>
      <c r="C32" s="39"/>
      <c r="D32" s="39" t="s">
        <v>37</v>
      </c>
      <c r="E32" s="2"/>
      <c r="F32" s="35"/>
      <c r="G32" s="58"/>
      <c r="H32" s="58">
        <v>3875</v>
      </c>
      <c r="I32" s="65"/>
    </row>
    <row r="33" spans="1:26" ht="14.25" customHeight="1" x14ac:dyDescent="0.3">
      <c r="B33" s="53"/>
      <c r="C33" s="39"/>
      <c r="D33" s="39" t="s">
        <v>38</v>
      </c>
      <c r="E33" s="2"/>
      <c r="F33" s="35"/>
      <c r="G33" s="58"/>
      <c r="H33" s="56">
        <v>0</v>
      </c>
      <c r="I33" s="116" t="s">
        <v>188</v>
      </c>
      <c r="J33" s="117"/>
      <c r="K33" s="117"/>
      <c r="L33" s="117"/>
      <c r="M33" s="117"/>
      <c r="N33" s="118"/>
      <c r="O33" s="118"/>
    </row>
    <row r="34" spans="1:26" ht="14.25" customHeight="1" x14ac:dyDescent="0.3">
      <c r="B34" s="53"/>
      <c r="C34" s="39"/>
      <c r="D34" s="39" t="s">
        <v>39</v>
      </c>
      <c r="E34" s="2"/>
      <c r="F34" s="35"/>
      <c r="G34" s="2"/>
      <c r="H34" s="58">
        <f>E34*G34</f>
        <v>0</v>
      </c>
      <c r="I34" s="121" t="s">
        <v>199</v>
      </c>
      <c r="J34" s="121"/>
      <c r="K34" s="121"/>
      <c r="L34" s="121"/>
      <c r="M34" s="121"/>
    </row>
    <row r="35" spans="1:26" ht="14.25" customHeight="1" x14ac:dyDescent="0.3">
      <c r="C35" s="1"/>
      <c r="F35" s="2"/>
      <c r="G35" s="2"/>
    </row>
    <row r="36" spans="1:26" ht="14.25" customHeight="1" x14ac:dyDescent="0.3">
      <c r="A36" s="48"/>
      <c r="B36" s="135" t="s">
        <v>40</v>
      </c>
      <c r="C36" s="136"/>
      <c r="D36" s="137"/>
      <c r="E36" s="49"/>
      <c r="F36" s="50"/>
      <c r="G36" s="51"/>
      <c r="H36" s="49">
        <f>H37</f>
        <v>2785</v>
      </c>
      <c r="I36" s="52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spans="1:26" ht="14.25" customHeight="1" x14ac:dyDescent="0.3">
      <c r="B37" s="53"/>
      <c r="C37" s="39"/>
      <c r="D37" s="32" t="s">
        <v>41</v>
      </c>
      <c r="E37" s="2"/>
      <c r="F37" s="35"/>
      <c r="G37" s="58"/>
      <c r="H37" s="56">
        <v>2785</v>
      </c>
      <c r="I37" s="66"/>
    </row>
    <row r="38" spans="1:26" ht="14.25" customHeight="1" x14ac:dyDescent="0.3">
      <c r="B38" s="53"/>
      <c r="C38" s="39"/>
      <c r="D38" s="32"/>
      <c r="E38" s="2"/>
      <c r="F38" s="35"/>
      <c r="G38" s="2"/>
      <c r="H38" s="58"/>
    </row>
    <row r="39" spans="1:26" ht="14.25" customHeight="1" x14ac:dyDescent="0.3">
      <c r="A39" s="48"/>
      <c r="B39" s="135" t="s">
        <v>42</v>
      </c>
      <c r="C39" s="136"/>
      <c r="D39" s="137"/>
      <c r="E39" s="49"/>
      <c r="F39" s="50"/>
      <c r="G39" s="51"/>
      <c r="H39" s="49">
        <f>SUM(H40:H46)</f>
        <v>55666</v>
      </c>
      <c r="I39" s="52"/>
      <c r="J39" s="48"/>
      <c r="K39" s="48"/>
      <c r="L39" s="66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spans="1:26" ht="14.25" customHeight="1" x14ac:dyDescent="0.3">
      <c r="B40" s="53"/>
      <c r="C40" s="39"/>
      <c r="D40" s="32" t="s">
        <v>43</v>
      </c>
      <c r="E40" s="2"/>
      <c r="F40" s="35"/>
      <c r="G40" s="58"/>
      <c r="H40" s="58">
        <v>2400</v>
      </c>
      <c r="I40" s="66"/>
      <c r="J40" s="66"/>
      <c r="K40" s="66"/>
      <c r="L40" s="66"/>
      <c r="M40" s="66"/>
    </row>
    <row r="41" spans="1:26" ht="14.25" customHeight="1" x14ac:dyDescent="0.3">
      <c r="B41" s="53"/>
      <c r="C41" s="39"/>
      <c r="D41" s="32" t="s">
        <v>44</v>
      </c>
      <c r="E41" s="2"/>
      <c r="F41" s="35"/>
      <c r="G41" s="58"/>
      <c r="H41" s="58">
        <f>E41*G41</f>
        <v>0</v>
      </c>
      <c r="I41" s="66"/>
      <c r="J41" s="66"/>
      <c r="K41" s="66"/>
      <c r="L41" s="66"/>
      <c r="M41" s="66"/>
    </row>
    <row r="42" spans="1:26" ht="14.25" customHeight="1" x14ac:dyDescent="0.3">
      <c r="B42" s="53"/>
      <c r="C42" s="39"/>
      <c r="D42" s="32" t="s">
        <v>45</v>
      </c>
      <c r="E42" s="2"/>
      <c r="F42" s="35"/>
      <c r="G42" s="58"/>
      <c r="H42" s="58">
        <v>13845</v>
      </c>
      <c r="I42" s="66"/>
      <c r="J42" s="66"/>
      <c r="K42" s="66"/>
      <c r="L42" s="66"/>
      <c r="M42" s="66"/>
    </row>
    <row r="43" spans="1:26" ht="14.25" customHeight="1" x14ac:dyDescent="0.3">
      <c r="B43" s="53"/>
      <c r="C43" s="39"/>
      <c r="D43" s="32" t="s">
        <v>46</v>
      </c>
      <c r="E43" s="2"/>
      <c r="F43" s="35"/>
      <c r="G43" s="58"/>
      <c r="H43" s="56">
        <v>6750</v>
      </c>
      <c r="I43" s="66"/>
      <c r="J43" s="66"/>
      <c r="K43" s="66"/>
      <c r="L43" s="66"/>
      <c r="M43" s="66"/>
    </row>
    <row r="44" spans="1:26" ht="14.25" customHeight="1" x14ac:dyDescent="0.3">
      <c r="B44" s="53"/>
      <c r="C44" s="39"/>
      <c r="D44" s="32" t="s">
        <v>47</v>
      </c>
      <c r="E44" s="2"/>
      <c r="F44" s="35"/>
      <c r="G44" s="58"/>
      <c r="H44" s="56">
        <v>24600</v>
      </c>
      <c r="I44" s="66"/>
      <c r="J44" s="66"/>
      <c r="K44" s="66"/>
      <c r="L44" s="66"/>
      <c r="M44" s="66"/>
    </row>
    <row r="45" spans="1:26" ht="14.25" customHeight="1" x14ac:dyDescent="0.3">
      <c r="B45" s="53"/>
      <c r="C45" s="39"/>
      <c r="D45" s="32" t="s">
        <v>48</v>
      </c>
      <c r="E45" s="2"/>
      <c r="F45" s="35"/>
      <c r="G45" s="58"/>
      <c r="H45" s="56">
        <v>3271</v>
      </c>
      <c r="I45" s="66"/>
      <c r="J45" s="66"/>
      <c r="K45" s="66"/>
      <c r="L45" s="66"/>
      <c r="M45" s="66"/>
    </row>
    <row r="46" spans="1:26" ht="14.25" customHeight="1" x14ac:dyDescent="0.3">
      <c r="B46" s="53"/>
      <c r="C46" s="39"/>
      <c r="D46" s="32" t="s">
        <v>49</v>
      </c>
      <c r="E46" s="2"/>
      <c r="F46" s="35"/>
      <c r="G46" s="58"/>
      <c r="H46" s="56">
        <v>4800</v>
      </c>
      <c r="I46" s="66"/>
      <c r="J46" s="66"/>
      <c r="K46" s="66"/>
      <c r="L46" s="66"/>
      <c r="M46" s="66"/>
    </row>
    <row r="47" spans="1:26" ht="14.25" customHeight="1" x14ac:dyDescent="0.3">
      <c r="B47" s="53"/>
      <c r="C47" s="39"/>
      <c r="D47" s="32"/>
      <c r="E47" s="2"/>
      <c r="F47" s="35"/>
      <c r="G47" s="2"/>
      <c r="H47" s="58"/>
      <c r="I47" s="66"/>
      <c r="J47" s="66"/>
      <c r="K47" s="66"/>
      <c r="L47" s="66"/>
      <c r="M47" s="66"/>
    </row>
    <row r="48" spans="1:26" ht="14.25" customHeight="1" x14ac:dyDescent="0.3">
      <c r="A48" s="48"/>
      <c r="B48" s="135" t="s">
        <v>50</v>
      </c>
      <c r="C48" s="136"/>
      <c r="D48" s="137"/>
      <c r="E48" s="49"/>
      <c r="F48" s="50"/>
      <c r="G48" s="51"/>
      <c r="H48" s="49">
        <f>SUM(H49:H53)</f>
        <v>65625</v>
      </c>
      <c r="I48" s="52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spans="1:26" ht="20.25" customHeight="1" x14ac:dyDescent="0.3">
      <c r="B49" s="53"/>
      <c r="C49" s="39"/>
      <c r="D49" s="67" t="s">
        <v>51</v>
      </c>
      <c r="E49" s="2"/>
      <c r="F49" s="35"/>
      <c r="G49" s="68"/>
      <c r="H49" s="58">
        <v>48000</v>
      </c>
      <c r="I49" s="68"/>
    </row>
    <row r="50" spans="1:26" ht="20.25" customHeight="1" x14ac:dyDescent="0.3">
      <c r="B50" s="53"/>
      <c r="C50" s="39"/>
      <c r="D50" s="67" t="s">
        <v>52</v>
      </c>
      <c r="E50" s="2"/>
      <c r="F50" s="35"/>
      <c r="G50" s="69"/>
      <c r="H50" s="58">
        <v>7325</v>
      </c>
      <c r="I50" s="128" t="s">
        <v>200</v>
      </c>
      <c r="J50" s="117"/>
      <c r="K50" s="117"/>
      <c r="L50" s="129"/>
      <c r="M50" s="118"/>
    </row>
    <row r="51" spans="1:26" ht="20.25" customHeight="1" x14ac:dyDescent="0.3">
      <c r="B51" s="53"/>
      <c r="C51" s="39"/>
      <c r="D51" s="67" t="s">
        <v>53</v>
      </c>
      <c r="E51" s="2"/>
      <c r="F51" s="35"/>
      <c r="G51" s="69"/>
      <c r="H51" s="56">
        <v>500</v>
      </c>
      <c r="I51" s="66"/>
    </row>
    <row r="52" spans="1:26" ht="20.25" customHeight="1" x14ac:dyDescent="0.3">
      <c r="B52" s="53"/>
      <c r="C52" s="39"/>
      <c r="D52" s="32" t="s">
        <v>189</v>
      </c>
      <c r="E52" s="2"/>
      <c r="F52" s="70"/>
      <c r="H52" s="56">
        <v>4292</v>
      </c>
      <c r="I52" s="130" t="s">
        <v>202</v>
      </c>
      <c r="J52" s="130"/>
      <c r="K52" s="130"/>
      <c r="L52" s="130"/>
      <c r="M52" s="132"/>
      <c r="N52" s="132"/>
    </row>
    <row r="53" spans="1:26" ht="14.25" customHeight="1" x14ac:dyDescent="0.3">
      <c r="B53" s="53"/>
      <c r="C53" s="39"/>
      <c r="D53" s="32" t="s">
        <v>190</v>
      </c>
      <c r="E53" s="2"/>
      <c r="F53" s="35"/>
      <c r="G53" s="58"/>
      <c r="H53" s="58">
        <v>5508</v>
      </c>
      <c r="I53" s="130" t="s">
        <v>203</v>
      </c>
      <c r="J53" s="121"/>
      <c r="K53" s="121"/>
      <c r="L53" s="121"/>
      <c r="M53" s="121"/>
    </row>
    <row r="54" spans="1:26" ht="14.25" customHeight="1" x14ac:dyDescent="0.3">
      <c r="B54" s="53"/>
      <c r="C54" s="39"/>
      <c r="D54" s="32"/>
      <c r="E54" s="2"/>
      <c r="F54" s="35"/>
      <c r="G54" s="58"/>
      <c r="H54" s="58"/>
    </row>
    <row r="55" spans="1:26" ht="14.25" customHeight="1" x14ac:dyDescent="0.3">
      <c r="A55" s="48"/>
      <c r="B55" s="135" t="s">
        <v>54</v>
      </c>
      <c r="C55" s="136"/>
      <c r="D55" s="137"/>
      <c r="E55" s="49"/>
      <c r="F55" s="50"/>
      <c r="G55" s="51"/>
      <c r="H55" s="49">
        <f>SUM(H56:H65)</f>
        <v>19185</v>
      </c>
      <c r="I55" s="52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spans="1:26" ht="14.25" customHeight="1" x14ac:dyDescent="0.3">
      <c r="B56" s="53"/>
      <c r="C56" s="39"/>
      <c r="D56" s="32" t="s">
        <v>55</v>
      </c>
      <c r="E56" s="2"/>
      <c r="F56" s="35"/>
      <c r="G56" s="58"/>
      <c r="H56" s="58">
        <f t="shared" ref="H56:H64" si="1">E56*G56</f>
        <v>0</v>
      </c>
      <c r="I56" s="62"/>
      <c r="J56" s="62"/>
      <c r="K56" s="62"/>
    </row>
    <row r="57" spans="1:26" ht="14.25" customHeight="1" x14ac:dyDescent="0.3">
      <c r="B57" s="53"/>
      <c r="C57" s="39"/>
      <c r="D57" s="32" t="s">
        <v>56</v>
      </c>
      <c r="E57" s="2"/>
      <c r="F57" s="35"/>
      <c r="G57" s="58"/>
      <c r="H57" s="58">
        <f t="shared" si="1"/>
        <v>0</v>
      </c>
    </row>
    <row r="58" spans="1:26" ht="14.25" customHeight="1" x14ac:dyDescent="0.3">
      <c r="B58" s="53"/>
      <c r="C58" s="39"/>
      <c r="D58" s="32" t="s">
        <v>57</v>
      </c>
      <c r="E58" s="2"/>
      <c r="F58" s="35"/>
      <c r="G58" s="58"/>
      <c r="H58" s="58">
        <f t="shared" si="1"/>
        <v>0</v>
      </c>
    </row>
    <row r="59" spans="1:26" ht="14.25" customHeight="1" x14ac:dyDescent="0.3">
      <c r="B59" s="53"/>
      <c r="C59" s="39"/>
      <c r="D59" s="32" t="s">
        <v>58</v>
      </c>
      <c r="E59" s="2"/>
      <c r="F59" s="35"/>
      <c r="G59" s="58"/>
      <c r="H59" s="58">
        <v>19185</v>
      </c>
    </row>
    <row r="60" spans="1:26" ht="14.25" customHeight="1" x14ac:dyDescent="0.3">
      <c r="B60" s="53"/>
      <c r="C60" s="39"/>
      <c r="D60" s="32" t="s">
        <v>59</v>
      </c>
      <c r="E60" s="2"/>
      <c r="F60" s="35"/>
      <c r="G60" s="58"/>
      <c r="H60" s="58">
        <f t="shared" si="1"/>
        <v>0</v>
      </c>
    </row>
    <row r="61" spans="1:26" ht="14.25" customHeight="1" x14ac:dyDescent="0.3">
      <c r="B61" s="53"/>
      <c r="C61" s="39"/>
      <c r="D61" s="32" t="s">
        <v>60</v>
      </c>
      <c r="E61" s="2"/>
      <c r="F61" s="35"/>
      <c r="G61" s="58"/>
      <c r="H61" s="58">
        <f t="shared" si="1"/>
        <v>0</v>
      </c>
    </row>
    <row r="62" spans="1:26" ht="14.25" customHeight="1" x14ac:dyDescent="0.3">
      <c r="B62" s="53"/>
      <c r="C62" s="39"/>
      <c r="D62" s="32" t="s">
        <v>61</v>
      </c>
      <c r="E62" s="2"/>
      <c r="F62" s="35"/>
      <c r="G62" s="58"/>
      <c r="H62" s="58">
        <f t="shared" si="1"/>
        <v>0</v>
      </c>
    </row>
    <row r="63" spans="1:26" ht="14.25" customHeight="1" x14ac:dyDescent="0.3">
      <c r="B63" s="53"/>
      <c r="C63" s="39"/>
      <c r="D63" s="32" t="s">
        <v>62</v>
      </c>
      <c r="E63" s="2"/>
      <c r="F63" s="35"/>
      <c r="G63" s="58"/>
      <c r="H63" s="58">
        <f t="shared" si="1"/>
        <v>0</v>
      </c>
    </row>
    <row r="64" spans="1:26" ht="14.25" customHeight="1" x14ac:dyDescent="0.3">
      <c r="B64" s="53"/>
      <c r="C64" s="39"/>
      <c r="D64" s="39" t="s">
        <v>63</v>
      </c>
      <c r="E64" s="2"/>
      <c r="F64" s="35"/>
      <c r="G64" s="58"/>
      <c r="H64" s="58">
        <f t="shared" si="1"/>
        <v>0</v>
      </c>
    </row>
    <row r="65" spans="1:26" ht="14.25" customHeight="1" x14ac:dyDescent="0.3">
      <c r="B65" s="53"/>
      <c r="C65" s="39"/>
      <c r="D65" s="32"/>
      <c r="E65" s="2"/>
      <c r="F65" s="35"/>
      <c r="G65" s="2"/>
      <c r="H65" s="58"/>
    </row>
    <row r="66" spans="1:26" ht="14.25" customHeight="1" x14ac:dyDescent="0.3">
      <c r="A66" s="48"/>
      <c r="B66" s="135" t="s">
        <v>64</v>
      </c>
      <c r="C66" s="136"/>
      <c r="D66" s="137"/>
      <c r="E66" s="49"/>
      <c r="F66" s="50"/>
      <c r="G66" s="51"/>
      <c r="H66" s="49">
        <f>SUM(H67:H72)</f>
        <v>41720</v>
      </c>
      <c r="I66" s="52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spans="1:26" ht="14.25" customHeight="1" x14ac:dyDescent="0.3">
      <c r="B67" s="53"/>
      <c r="C67" s="39"/>
      <c r="D67" s="32" t="s">
        <v>65</v>
      </c>
      <c r="E67" s="2"/>
      <c r="F67" s="35"/>
      <c r="G67" s="58"/>
      <c r="H67" s="58">
        <v>0</v>
      </c>
      <c r="I67" s="121" t="s">
        <v>191</v>
      </c>
      <c r="J67" s="118"/>
      <c r="K67" s="118"/>
      <c r="L67" s="118"/>
      <c r="M67" s="118"/>
      <c r="N67" s="118"/>
    </row>
    <row r="68" spans="1:26" ht="14.25" customHeight="1" x14ac:dyDescent="0.3">
      <c r="B68" s="53"/>
      <c r="C68" s="39"/>
      <c r="D68" s="32" t="s">
        <v>66</v>
      </c>
      <c r="E68" s="2"/>
      <c r="F68" s="35"/>
      <c r="G68" s="58"/>
      <c r="H68" s="58">
        <v>3685</v>
      </c>
    </row>
    <row r="69" spans="1:26" ht="14.25" customHeight="1" x14ac:dyDescent="0.3">
      <c r="B69" s="53"/>
      <c r="C69" s="39"/>
      <c r="D69" s="32" t="s">
        <v>67</v>
      </c>
      <c r="E69" s="2"/>
      <c r="F69" s="35"/>
      <c r="G69" s="58"/>
      <c r="H69" s="58">
        <v>5875</v>
      </c>
    </row>
    <row r="70" spans="1:26" ht="14.25" customHeight="1" x14ac:dyDescent="0.3">
      <c r="B70" s="53"/>
      <c r="C70" s="39"/>
      <c r="D70" s="32" t="s">
        <v>68</v>
      </c>
      <c r="E70" s="2"/>
      <c r="F70" s="35"/>
      <c r="G70" s="58"/>
      <c r="H70" s="58">
        <v>0</v>
      </c>
    </row>
    <row r="71" spans="1:26" ht="14.25" customHeight="1" x14ac:dyDescent="0.3">
      <c r="B71" s="53"/>
      <c r="C71" s="39"/>
      <c r="D71" s="32" t="s">
        <v>69</v>
      </c>
      <c r="E71" s="2"/>
      <c r="F71" s="35"/>
      <c r="G71" s="58"/>
      <c r="H71" s="58">
        <v>32160</v>
      </c>
    </row>
    <row r="72" spans="1:26" ht="14.25" customHeight="1" x14ac:dyDescent="0.3">
      <c r="B72" s="53"/>
      <c r="C72" s="39"/>
      <c r="D72" s="39" t="s">
        <v>63</v>
      </c>
      <c r="E72" s="2"/>
      <c r="F72" s="35"/>
      <c r="G72" s="58"/>
      <c r="H72" s="58">
        <v>0</v>
      </c>
    </row>
    <row r="73" spans="1:26" ht="14.25" customHeight="1" x14ac:dyDescent="0.3">
      <c r="B73" s="53"/>
      <c r="C73" s="39"/>
      <c r="D73" s="39"/>
      <c r="E73" s="2"/>
      <c r="F73" s="35"/>
      <c r="G73" s="2"/>
      <c r="H73" s="58"/>
    </row>
    <row r="74" spans="1:26" ht="14.25" customHeight="1" x14ac:dyDescent="0.3">
      <c r="A74" s="48"/>
      <c r="B74" s="135" t="s">
        <v>70</v>
      </c>
      <c r="C74" s="136"/>
      <c r="D74" s="137"/>
      <c r="E74" s="49"/>
      <c r="F74" s="50"/>
      <c r="G74" s="51"/>
      <c r="H74" s="49">
        <f>SUM(H75:H80)</f>
        <v>14575</v>
      </c>
      <c r="I74" s="52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</row>
    <row r="75" spans="1:26" ht="14.25" customHeight="1" x14ac:dyDescent="0.3">
      <c r="B75" s="53"/>
      <c r="C75" s="39"/>
      <c r="D75" s="32" t="s">
        <v>71</v>
      </c>
      <c r="E75" s="2"/>
      <c r="F75" s="35"/>
      <c r="G75" s="58"/>
      <c r="H75" s="58">
        <f t="shared" ref="H75:H76" si="2">E75*G75</f>
        <v>0</v>
      </c>
      <c r="I75" s="71"/>
      <c r="J75" s="66"/>
      <c r="K75" s="66"/>
      <c r="L75" s="66"/>
      <c r="M75" s="66"/>
    </row>
    <row r="76" spans="1:26" ht="14.25" customHeight="1" x14ac:dyDescent="0.3">
      <c r="B76" s="53"/>
      <c r="C76" s="39"/>
      <c r="D76" s="32" t="s">
        <v>72</v>
      </c>
      <c r="E76" s="2"/>
      <c r="F76" s="35"/>
      <c r="G76" s="58"/>
      <c r="H76" s="58">
        <f t="shared" si="2"/>
        <v>0</v>
      </c>
      <c r="I76" s="66"/>
      <c r="J76" s="66"/>
      <c r="K76" s="66"/>
      <c r="L76" s="66"/>
      <c r="M76" s="66"/>
    </row>
    <row r="77" spans="1:26" ht="14.25" customHeight="1" x14ac:dyDescent="0.3">
      <c r="B77" s="53"/>
      <c r="C77" s="39"/>
      <c r="D77" s="32" t="s">
        <v>73</v>
      </c>
      <c r="E77" s="2"/>
      <c r="F77" s="35"/>
      <c r="G77" s="58"/>
      <c r="H77" s="58">
        <v>8900</v>
      </c>
      <c r="I77" s="66"/>
      <c r="J77" s="66"/>
      <c r="K77" s="66"/>
      <c r="L77" s="66"/>
      <c r="M77" s="66"/>
    </row>
    <row r="78" spans="1:26" ht="14.25" customHeight="1" x14ac:dyDescent="0.3">
      <c r="B78" s="53"/>
      <c r="C78" s="39"/>
      <c r="D78" s="32" t="s">
        <v>74</v>
      </c>
      <c r="E78" s="2"/>
      <c r="F78" s="35"/>
      <c r="G78" s="58"/>
      <c r="H78" s="56">
        <v>4750</v>
      </c>
      <c r="I78" s="72"/>
      <c r="J78" s="72"/>
      <c r="K78" s="72"/>
      <c r="L78" s="72"/>
      <c r="M78" s="72"/>
      <c r="N78" s="62"/>
    </row>
    <row r="79" spans="1:26" ht="14.25" customHeight="1" x14ac:dyDescent="0.3">
      <c r="B79" s="53"/>
      <c r="C79" s="39"/>
      <c r="D79" s="32" t="s">
        <v>75</v>
      </c>
      <c r="E79" s="2"/>
      <c r="F79" s="35"/>
      <c r="G79" s="58"/>
      <c r="H79" s="56">
        <v>925</v>
      </c>
      <c r="I79" s="66"/>
      <c r="J79" s="66"/>
      <c r="K79" s="66"/>
      <c r="L79" s="66"/>
      <c r="M79" s="66"/>
    </row>
    <row r="80" spans="1:26" ht="14.25" customHeight="1" x14ac:dyDescent="0.3">
      <c r="B80" s="53"/>
      <c r="C80" s="39"/>
      <c r="D80" s="39" t="s">
        <v>63</v>
      </c>
      <c r="E80" s="2"/>
      <c r="F80" s="35"/>
      <c r="G80" s="58"/>
      <c r="H80" s="58">
        <f>E80*G80</f>
        <v>0</v>
      </c>
      <c r="I80" s="66"/>
      <c r="J80" s="66"/>
      <c r="K80" s="66"/>
      <c r="L80" s="66"/>
      <c r="M80" s="66"/>
    </row>
    <row r="81" spans="1:26" ht="14.25" customHeight="1" x14ac:dyDescent="0.3">
      <c r="B81" s="53"/>
      <c r="C81" s="39"/>
      <c r="D81" s="39"/>
      <c r="E81" s="2"/>
      <c r="F81" s="35"/>
      <c r="G81" s="2"/>
      <c r="H81" s="58"/>
    </row>
    <row r="82" spans="1:26" ht="14.25" customHeight="1" x14ac:dyDescent="0.3">
      <c r="A82" s="48"/>
      <c r="B82" s="135" t="s">
        <v>76</v>
      </c>
      <c r="C82" s="136"/>
      <c r="D82" s="137"/>
      <c r="E82" s="49"/>
      <c r="F82" s="50"/>
      <c r="G82" s="51"/>
      <c r="H82" s="49">
        <f>SUM(H83:H96)</f>
        <v>197990</v>
      </c>
      <c r="I82" s="52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 spans="1:26" ht="14.25" customHeight="1" x14ac:dyDescent="0.3">
      <c r="B83" s="53"/>
      <c r="C83" s="39"/>
      <c r="D83" s="33" t="s">
        <v>77</v>
      </c>
      <c r="E83" s="2"/>
      <c r="F83" s="35"/>
      <c r="G83" s="58"/>
      <c r="H83" s="58"/>
      <c r="I83" s="66"/>
      <c r="J83" s="66"/>
      <c r="K83" s="66"/>
      <c r="L83" s="66"/>
      <c r="M83" s="66"/>
    </row>
    <row r="84" spans="1:26" ht="14.25" customHeight="1" x14ac:dyDescent="0.3">
      <c r="B84" s="53"/>
      <c r="C84" s="39"/>
      <c r="D84" s="32" t="s">
        <v>78</v>
      </c>
      <c r="E84" s="2"/>
      <c r="F84" s="35"/>
      <c r="G84" s="58"/>
      <c r="H84" s="58">
        <f t="shared" ref="H84:H85" si="3">E84*G84</f>
        <v>0</v>
      </c>
      <c r="I84" s="66"/>
      <c r="J84" s="66"/>
      <c r="K84" s="66"/>
      <c r="L84" s="66"/>
      <c r="M84" s="66"/>
    </row>
    <row r="85" spans="1:26" ht="14.25" customHeight="1" x14ac:dyDescent="0.3">
      <c r="B85" s="53"/>
      <c r="C85" s="39"/>
      <c r="D85" s="73" t="s">
        <v>79</v>
      </c>
      <c r="E85" s="2"/>
      <c r="F85" s="35"/>
      <c r="G85" s="58"/>
      <c r="H85" s="58">
        <f t="shared" si="3"/>
        <v>0</v>
      </c>
      <c r="I85" s="66"/>
      <c r="J85" s="66"/>
      <c r="K85" s="66"/>
      <c r="L85" s="66"/>
      <c r="M85" s="66"/>
    </row>
    <row r="86" spans="1:26" ht="14.25" customHeight="1" x14ac:dyDescent="0.3">
      <c r="B86" s="53"/>
      <c r="C86" s="39"/>
      <c r="D86" s="73" t="s">
        <v>80</v>
      </c>
      <c r="E86" s="2"/>
      <c r="F86" s="74"/>
      <c r="G86" s="75"/>
      <c r="H86" s="56">
        <v>190095</v>
      </c>
      <c r="I86" s="130" t="s">
        <v>206</v>
      </c>
      <c r="J86" s="130"/>
      <c r="K86" s="130"/>
      <c r="L86" s="132"/>
      <c r="M86" s="132"/>
    </row>
    <row r="87" spans="1:26" ht="14.25" customHeight="1" x14ac:dyDescent="0.3">
      <c r="B87" s="53"/>
      <c r="C87" s="39"/>
      <c r="D87" s="32" t="s">
        <v>81</v>
      </c>
      <c r="E87" s="2"/>
      <c r="F87" s="35"/>
      <c r="G87" s="58"/>
      <c r="H87" s="58">
        <f t="shared" ref="H87:H93" si="4">E87*G87</f>
        <v>0</v>
      </c>
      <c r="I87" s="66"/>
      <c r="J87" s="66"/>
      <c r="K87" s="66"/>
      <c r="L87" s="66"/>
      <c r="M87" s="66"/>
    </row>
    <row r="88" spans="1:26" ht="14.25" customHeight="1" x14ac:dyDescent="0.3">
      <c r="B88" s="53"/>
      <c r="C88" s="39"/>
      <c r="D88" s="39" t="s">
        <v>82</v>
      </c>
      <c r="E88" s="2"/>
      <c r="F88" s="35"/>
      <c r="G88" s="58"/>
      <c r="H88" s="58">
        <f t="shared" si="4"/>
        <v>0</v>
      </c>
      <c r="I88" s="66"/>
      <c r="J88" s="66"/>
      <c r="K88" s="66"/>
      <c r="L88" s="66"/>
      <c r="M88" s="66"/>
    </row>
    <row r="89" spans="1:26" ht="14.25" customHeight="1" x14ac:dyDescent="0.3">
      <c r="B89" s="53"/>
      <c r="C89" s="39"/>
      <c r="D89" s="39" t="s">
        <v>83</v>
      </c>
      <c r="E89" s="2"/>
      <c r="F89" s="35"/>
      <c r="G89" s="58"/>
      <c r="H89" s="58">
        <f t="shared" si="4"/>
        <v>0</v>
      </c>
      <c r="I89" s="66"/>
      <c r="J89" s="66"/>
      <c r="K89" s="66"/>
      <c r="L89" s="66"/>
      <c r="M89" s="66"/>
    </row>
    <row r="90" spans="1:26" ht="14.25" customHeight="1" x14ac:dyDescent="0.3">
      <c r="B90" s="53"/>
      <c r="C90" s="39"/>
      <c r="D90" s="39" t="s">
        <v>84</v>
      </c>
      <c r="E90" s="2"/>
      <c r="F90" s="35"/>
      <c r="G90" s="58"/>
      <c r="H90" s="58">
        <f t="shared" si="4"/>
        <v>0</v>
      </c>
      <c r="I90" s="66"/>
      <c r="J90" s="66"/>
      <c r="K90" s="66"/>
      <c r="L90" s="66"/>
      <c r="M90" s="66"/>
    </row>
    <row r="91" spans="1:26" ht="14.25" customHeight="1" x14ac:dyDescent="0.3">
      <c r="B91" s="53"/>
      <c r="C91" s="39"/>
      <c r="D91" s="39" t="s">
        <v>85</v>
      </c>
      <c r="E91" s="2"/>
      <c r="F91" s="35"/>
      <c r="G91" s="58"/>
      <c r="H91" s="58">
        <f t="shared" si="4"/>
        <v>0</v>
      </c>
      <c r="I91" s="66"/>
      <c r="J91" s="66"/>
      <c r="K91" s="66"/>
      <c r="L91" s="66"/>
      <c r="M91" s="66"/>
    </row>
    <row r="92" spans="1:26" ht="14.25" customHeight="1" x14ac:dyDescent="0.3">
      <c r="B92" s="53"/>
      <c r="C92" s="39"/>
      <c r="D92" s="39" t="s">
        <v>86</v>
      </c>
      <c r="E92" s="2"/>
      <c r="F92" s="35"/>
      <c r="G92" s="58"/>
      <c r="H92" s="58">
        <f t="shared" si="4"/>
        <v>0</v>
      </c>
      <c r="I92" s="66"/>
      <c r="J92" s="66"/>
      <c r="K92" s="66"/>
      <c r="L92" s="66"/>
      <c r="M92" s="66"/>
    </row>
    <row r="93" spans="1:26" ht="14.25" customHeight="1" x14ac:dyDescent="0.3">
      <c r="B93" s="53"/>
      <c r="C93" s="39"/>
      <c r="D93" s="39" t="s">
        <v>87</v>
      </c>
      <c r="E93" s="2"/>
      <c r="F93" s="35"/>
      <c r="G93" s="58"/>
      <c r="H93" s="58">
        <f t="shared" si="4"/>
        <v>0</v>
      </c>
      <c r="I93" s="66"/>
      <c r="J93" s="66"/>
      <c r="K93" s="66"/>
      <c r="L93" s="66"/>
      <c r="M93" s="66"/>
    </row>
    <row r="94" spans="1:26" ht="14.25" customHeight="1" x14ac:dyDescent="0.3">
      <c r="B94" s="53"/>
      <c r="C94" s="39"/>
      <c r="D94" s="39"/>
      <c r="E94" s="2"/>
      <c r="F94" s="35"/>
      <c r="G94" s="58"/>
      <c r="H94" s="58">
        <v>0</v>
      </c>
      <c r="I94" s="66"/>
      <c r="J94" s="66"/>
      <c r="K94" s="66"/>
      <c r="L94" s="66"/>
      <c r="M94" s="66"/>
    </row>
    <row r="95" spans="1:26" ht="14.25" customHeight="1" x14ac:dyDescent="0.3">
      <c r="B95" s="53"/>
      <c r="C95" s="39"/>
      <c r="D95" s="76" t="s">
        <v>88</v>
      </c>
      <c r="E95" s="2"/>
      <c r="F95" s="35"/>
      <c r="G95" s="58"/>
      <c r="H95" s="58">
        <f>E95*G95</f>
        <v>0</v>
      </c>
      <c r="I95" s="66"/>
      <c r="J95" s="66"/>
      <c r="K95" s="66"/>
      <c r="L95" s="66"/>
      <c r="M95" s="66"/>
    </row>
    <row r="96" spans="1:26" ht="14.25" customHeight="1" x14ac:dyDescent="0.3">
      <c r="B96" s="53"/>
      <c r="C96" s="39"/>
      <c r="D96" s="122" t="s">
        <v>195</v>
      </c>
      <c r="E96" s="2"/>
      <c r="F96" s="35"/>
      <c r="G96" s="2"/>
      <c r="H96" s="126">
        <v>7895</v>
      </c>
      <c r="I96" s="130" t="s">
        <v>207</v>
      </c>
      <c r="J96" s="130"/>
      <c r="K96" s="130"/>
      <c r="L96" s="130"/>
      <c r="M96" s="66"/>
    </row>
    <row r="97" spans="1:26" ht="14.25" customHeight="1" x14ac:dyDescent="0.3">
      <c r="B97" s="53"/>
      <c r="C97" s="39"/>
      <c r="D97" s="39"/>
      <c r="E97" s="2"/>
      <c r="F97" s="35"/>
      <c r="G97" s="2"/>
      <c r="H97" s="58"/>
    </row>
    <row r="98" spans="1:26" ht="14.25" customHeight="1" x14ac:dyDescent="0.3">
      <c r="A98" s="48"/>
      <c r="B98" s="135" t="s">
        <v>89</v>
      </c>
      <c r="C98" s="136"/>
      <c r="D98" s="137"/>
      <c r="E98" s="49"/>
      <c r="F98" s="50"/>
      <c r="G98" s="51"/>
      <c r="H98" s="49">
        <f>SUM(H99:H108)</f>
        <v>124365</v>
      </c>
      <c r="I98" s="52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 spans="1:26" ht="14.25" customHeight="1" x14ac:dyDescent="0.3">
      <c r="B99" s="53"/>
      <c r="C99" s="39"/>
      <c r="D99" s="32" t="s">
        <v>90</v>
      </c>
      <c r="E99" s="2"/>
      <c r="F99" s="35"/>
      <c r="G99" s="77"/>
      <c r="H99" s="126">
        <v>68465</v>
      </c>
      <c r="I99" s="130" t="s">
        <v>201</v>
      </c>
      <c r="J99" s="130"/>
      <c r="K99" s="131"/>
      <c r="L99" s="131"/>
      <c r="M99" s="131"/>
      <c r="N99" s="130"/>
      <c r="O99" s="121"/>
      <c r="P99" s="121"/>
    </row>
    <row r="100" spans="1:26" ht="14.25" customHeight="1" x14ac:dyDescent="0.3">
      <c r="B100" s="53"/>
      <c r="C100" s="39"/>
      <c r="D100" s="32" t="s">
        <v>91</v>
      </c>
      <c r="E100" s="2"/>
      <c r="F100" s="35"/>
      <c r="G100" s="77"/>
      <c r="H100" s="58">
        <v>31380</v>
      </c>
      <c r="I100" s="66"/>
      <c r="J100" s="66"/>
      <c r="K100" s="66"/>
      <c r="L100" s="66"/>
      <c r="M100" s="66"/>
      <c r="N100" s="66"/>
    </row>
    <row r="101" spans="1:26" ht="14.25" customHeight="1" x14ac:dyDescent="0.3">
      <c r="B101" s="53"/>
      <c r="C101" s="39"/>
      <c r="D101" s="32" t="s">
        <v>92</v>
      </c>
      <c r="E101" s="2"/>
      <c r="F101" s="35"/>
      <c r="G101" s="77"/>
      <c r="H101" s="56">
        <v>4200</v>
      </c>
      <c r="I101" s="66"/>
      <c r="J101" s="66"/>
      <c r="K101" s="66"/>
      <c r="L101" s="66"/>
      <c r="M101" s="66"/>
      <c r="N101" s="66"/>
    </row>
    <row r="102" spans="1:26" ht="14.25" customHeight="1" x14ac:dyDescent="0.3">
      <c r="B102" s="53"/>
      <c r="C102" s="39"/>
      <c r="D102" s="73" t="s">
        <v>93</v>
      </c>
      <c r="E102" s="2"/>
      <c r="F102" s="35"/>
      <c r="G102" s="77"/>
      <c r="H102" s="56">
        <v>9225</v>
      </c>
      <c r="I102" s="66"/>
      <c r="J102" s="66"/>
      <c r="K102" s="66"/>
      <c r="L102" s="66"/>
      <c r="M102" s="66"/>
      <c r="N102" s="66"/>
    </row>
    <row r="103" spans="1:26" ht="14.25" customHeight="1" x14ac:dyDescent="0.3">
      <c r="B103" s="53"/>
      <c r="C103" s="79"/>
      <c r="D103" s="80" t="s">
        <v>94</v>
      </c>
      <c r="E103" s="2"/>
      <c r="F103" s="35"/>
      <c r="G103" s="77"/>
      <c r="H103" s="58">
        <v>1325</v>
      </c>
      <c r="I103" s="66"/>
      <c r="J103" s="66"/>
      <c r="K103" s="66"/>
      <c r="L103" s="66"/>
      <c r="M103" s="66"/>
      <c r="N103" s="66"/>
    </row>
    <row r="104" spans="1:26" ht="14.25" customHeight="1" x14ac:dyDescent="0.3">
      <c r="B104" s="53"/>
      <c r="C104" s="39"/>
      <c r="D104" s="81" t="s">
        <v>95</v>
      </c>
      <c r="E104" s="2"/>
      <c r="F104" s="35"/>
      <c r="G104" s="77"/>
      <c r="H104" s="58">
        <v>9770</v>
      </c>
      <c r="I104" s="66"/>
      <c r="J104" s="66"/>
      <c r="K104" s="66"/>
      <c r="L104" s="66"/>
      <c r="M104" s="66"/>
      <c r="N104" s="66"/>
      <c r="O104" s="66"/>
      <c r="P104" s="66"/>
      <c r="Q104" s="66"/>
    </row>
    <row r="105" spans="1:26" ht="14.25" customHeight="1" x14ac:dyDescent="0.3">
      <c r="B105" s="53"/>
      <c r="C105" s="39"/>
      <c r="D105" s="32" t="s">
        <v>96</v>
      </c>
      <c r="E105" s="2"/>
      <c r="F105" s="35"/>
      <c r="G105" s="77"/>
      <c r="H105" s="58">
        <f t="shared" ref="H105:H106" si="5">E105*G105</f>
        <v>0</v>
      </c>
      <c r="I105" s="66"/>
      <c r="J105" s="66"/>
      <c r="K105" s="66"/>
      <c r="L105" s="66"/>
      <c r="M105" s="66"/>
      <c r="N105" s="66"/>
    </row>
    <row r="106" spans="1:26" ht="14.25" customHeight="1" x14ac:dyDescent="0.3">
      <c r="B106" s="53"/>
      <c r="C106" s="39"/>
      <c r="D106" s="82" t="s">
        <v>97</v>
      </c>
      <c r="E106" s="2"/>
      <c r="F106" s="35"/>
      <c r="G106" s="77"/>
      <c r="H106" s="58">
        <f t="shared" si="5"/>
        <v>0</v>
      </c>
      <c r="I106" s="66"/>
      <c r="J106" s="66"/>
      <c r="K106" s="66"/>
      <c r="L106" s="66"/>
      <c r="M106" s="66"/>
      <c r="N106" s="66"/>
    </row>
    <row r="107" spans="1:26" ht="14.25" customHeight="1" x14ac:dyDescent="0.3">
      <c r="B107" s="53"/>
      <c r="C107" s="39"/>
      <c r="D107" s="32" t="s">
        <v>98</v>
      </c>
      <c r="E107" s="2"/>
      <c r="F107" s="35"/>
      <c r="G107" s="77"/>
      <c r="H107" s="58">
        <v>0</v>
      </c>
      <c r="I107" s="66"/>
      <c r="J107" s="66"/>
      <c r="K107" s="66"/>
      <c r="L107" s="66"/>
      <c r="M107" s="66"/>
      <c r="N107" s="66"/>
    </row>
    <row r="108" spans="1:26" ht="14.25" customHeight="1" x14ac:dyDescent="0.3">
      <c r="B108" s="53"/>
      <c r="C108" s="39"/>
      <c r="D108" s="39" t="s">
        <v>63</v>
      </c>
      <c r="E108" s="2"/>
      <c r="F108" s="35"/>
      <c r="G108" s="77"/>
      <c r="H108" s="58">
        <f>E108*G108</f>
        <v>0</v>
      </c>
      <c r="I108" s="66"/>
      <c r="J108" s="66"/>
      <c r="K108" s="66"/>
      <c r="L108" s="66"/>
      <c r="M108" s="66"/>
      <c r="N108" s="66"/>
    </row>
    <row r="109" spans="1:26" ht="14.25" customHeight="1" x14ac:dyDescent="0.3">
      <c r="B109" s="53"/>
      <c r="C109" s="39"/>
      <c r="D109" s="39"/>
      <c r="E109" s="2"/>
      <c r="F109" s="35"/>
      <c r="G109" s="2"/>
      <c r="H109" s="58"/>
    </row>
    <row r="110" spans="1:26" ht="14.25" customHeight="1" x14ac:dyDescent="0.3">
      <c r="A110" s="48"/>
      <c r="B110" s="135" t="s">
        <v>99</v>
      </c>
      <c r="C110" s="136"/>
      <c r="D110" s="137"/>
      <c r="E110" s="49"/>
      <c r="F110" s="50"/>
      <c r="G110" s="51"/>
      <c r="H110" s="49">
        <f>SUM(H111:H123)</f>
        <v>16912</v>
      </c>
      <c r="I110" s="52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 spans="1:26" ht="14.25" customHeight="1" x14ac:dyDescent="0.3">
      <c r="A111" s="52"/>
      <c r="B111" s="32"/>
      <c r="C111" s="83"/>
      <c r="D111" s="32" t="s">
        <v>100</v>
      </c>
      <c r="E111" s="2"/>
      <c r="F111" s="35"/>
      <c r="G111" s="58"/>
      <c r="H111" s="56">
        <v>3500</v>
      </c>
      <c r="I111" s="84"/>
      <c r="J111" s="84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spans="1:26" ht="14.25" customHeight="1" x14ac:dyDescent="0.3">
      <c r="A112" s="52"/>
      <c r="B112" s="32"/>
      <c r="C112" s="83"/>
      <c r="D112" s="32" t="s">
        <v>101</v>
      </c>
      <c r="E112" s="2"/>
      <c r="F112" s="35"/>
      <c r="G112" s="58"/>
      <c r="H112" s="56">
        <v>11250</v>
      </c>
      <c r="I112" s="84"/>
      <c r="J112" s="84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spans="1:26" ht="14.25" customHeight="1" x14ac:dyDescent="0.3">
      <c r="B113" s="32"/>
      <c r="C113" s="39"/>
      <c r="D113" s="32" t="s">
        <v>102</v>
      </c>
      <c r="E113" s="2"/>
      <c r="F113" s="35"/>
      <c r="G113" s="58"/>
      <c r="H113" s="58">
        <f t="shared" ref="H113:H114" si="6">E113*G113</f>
        <v>0</v>
      </c>
      <c r="I113" s="84"/>
      <c r="J113" s="84"/>
    </row>
    <row r="114" spans="1:26" ht="14.25" customHeight="1" x14ac:dyDescent="0.3">
      <c r="B114" s="32"/>
      <c r="C114" s="39"/>
      <c r="D114" s="32" t="s">
        <v>103</v>
      </c>
      <c r="E114" s="2"/>
      <c r="F114" s="35"/>
      <c r="G114" s="58"/>
      <c r="H114" s="58">
        <f t="shared" si="6"/>
        <v>0</v>
      </c>
      <c r="I114" s="84"/>
      <c r="J114" s="84"/>
    </row>
    <row r="115" spans="1:26" ht="14.25" customHeight="1" x14ac:dyDescent="0.3">
      <c r="B115" s="32"/>
      <c r="C115" s="39"/>
      <c r="D115" s="32" t="s">
        <v>104</v>
      </c>
      <c r="E115" s="2"/>
      <c r="F115" s="35"/>
      <c r="G115" s="58"/>
      <c r="H115" s="56">
        <v>1875</v>
      </c>
      <c r="I115" s="84"/>
      <c r="J115" s="84"/>
    </row>
    <row r="116" spans="1:26" ht="14.25" customHeight="1" x14ac:dyDescent="0.3">
      <c r="B116" s="32"/>
      <c r="C116" s="39"/>
      <c r="D116" s="32" t="s">
        <v>105</v>
      </c>
      <c r="E116" s="2"/>
      <c r="F116" s="35"/>
      <c r="G116" s="58"/>
      <c r="H116" s="56">
        <v>287</v>
      </c>
      <c r="I116" s="84"/>
      <c r="J116" s="84"/>
    </row>
    <row r="117" spans="1:26" ht="14.25" customHeight="1" x14ac:dyDescent="0.3">
      <c r="B117" s="32"/>
      <c r="C117" s="39"/>
      <c r="D117" s="33" t="s">
        <v>106</v>
      </c>
      <c r="E117" s="2"/>
      <c r="F117" s="35"/>
      <c r="G117" s="58"/>
      <c r="H117" s="58">
        <f t="shared" ref="H117:H123" si="7">E117*G117</f>
        <v>0</v>
      </c>
      <c r="I117" s="84"/>
      <c r="J117" s="84"/>
    </row>
    <row r="118" spans="1:26" ht="14.25" customHeight="1" x14ac:dyDescent="0.3">
      <c r="B118" s="32"/>
      <c r="C118" s="39"/>
      <c r="D118" s="85" t="s">
        <v>107</v>
      </c>
      <c r="E118" s="2"/>
      <c r="F118" s="35"/>
      <c r="G118" s="58"/>
      <c r="H118" s="58">
        <f t="shared" si="7"/>
        <v>0</v>
      </c>
      <c r="I118" s="84"/>
      <c r="J118" s="84"/>
    </row>
    <row r="119" spans="1:26" ht="14.25" customHeight="1" x14ac:dyDescent="0.3">
      <c r="B119" s="32"/>
      <c r="C119" s="39"/>
      <c r="D119" s="85" t="s">
        <v>108</v>
      </c>
      <c r="E119" s="2"/>
      <c r="F119" s="35"/>
      <c r="G119" s="58"/>
      <c r="H119" s="58">
        <f t="shared" si="7"/>
        <v>0</v>
      </c>
      <c r="I119" s="84"/>
      <c r="J119" s="84"/>
    </row>
    <row r="120" spans="1:26" ht="14.25" customHeight="1" x14ac:dyDescent="0.3">
      <c r="B120" s="32"/>
      <c r="C120" s="39"/>
      <c r="D120" s="85" t="s">
        <v>109</v>
      </c>
      <c r="E120" s="2"/>
      <c r="F120" s="35"/>
      <c r="G120" s="58"/>
      <c r="H120" s="58">
        <f t="shared" si="7"/>
        <v>0</v>
      </c>
      <c r="I120" s="84"/>
      <c r="J120" s="84"/>
    </row>
    <row r="121" spans="1:26" ht="14.25" customHeight="1" x14ac:dyDescent="0.3">
      <c r="B121" s="32"/>
      <c r="C121" s="39"/>
      <c r="D121" s="85" t="s">
        <v>110</v>
      </c>
      <c r="E121" s="2"/>
      <c r="F121" s="35"/>
      <c r="G121" s="58"/>
      <c r="H121" s="58">
        <f t="shared" si="7"/>
        <v>0</v>
      </c>
      <c r="I121" s="84"/>
      <c r="J121" s="84"/>
    </row>
    <row r="122" spans="1:26" ht="14.25" customHeight="1" x14ac:dyDescent="0.3">
      <c r="B122" s="32"/>
      <c r="C122" s="39"/>
      <c r="D122" s="85" t="s">
        <v>111</v>
      </c>
      <c r="E122" s="2"/>
      <c r="F122" s="35"/>
      <c r="G122" s="58"/>
      <c r="H122" s="58">
        <f t="shared" si="7"/>
        <v>0</v>
      </c>
      <c r="I122" s="84"/>
      <c r="J122" s="84"/>
    </row>
    <row r="123" spans="1:26" ht="14.25" customHeight="1" x14ac:dyDescent="0.3">
      <c r="B123" s="32"/>
      <c r="C123" s="39"/>
      <c r="D123" s="32"/>
      <c r="E123" s="2"/>
      <c r="F123" s="35"/>
      <c r="G123" s="58"/>
      <c r="H123" s="58">
        <f t="shared" si="7"/>
        <v>0</v>
      </c>
      <c r="I123" s="84"/>
      <c r="J123" s="84"/>
    </row>
    <row r="124" spans="1:26" ht="14.25" customHeight="1" x14ac:dyDescent="0.3">
      <c r="B124" s="32"/>
      <c r="C124" s="39"/>
      <c r="D124" s="32"/>
      <c r="E124" s="2"/>
      <c r="F124" s="35"/>
      <c r="G124" s="58"/>
      <c r="H124" s="58"/>
      <c r="I124" s="84"/>
      <c r="J124" s="84"/>
    </row>
    <row r="125" spans="1:26" ht="14.25" customHeight="1" x14ac:dyDescent="0.3">
      <c r="A125" s="48"/>
      <c r="B125" s="135" t="s">
        <v>112</v>
      </c>
      <c r="C125" s="136"/>
      <c r="D125" s="137"/>
      <c r="E125" s="49"/>
      <c r="F125" s="50"/>
      <c r="G125" s="51"/>
      <c r="H125" s="49">
        <f>SUM(H127:H131)</f>
        <v>2335</v>
      </c>
      <c r="I125" s="52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</row>
    <row r="126" spans="1:26" ht="14.25" customHeight="1" x14ac:dyDescent="0.3">
      <c r="B126" s="32"/>
      <c r="C126" s="39"/>
      <c r="D126" s="33" t="s">
        <v>113</v>
      </c>
      <c r="E126" s="2"/>
      <c r="F126" s="35"/>
      <c r="G126" s="77"/>
      <c r="H126" s="58"/>
    </row>
    <row r="127" spans="1:26" ht="14.25" customHeight="1" x14ac:dyDescent="0.3">
      <c r="B127" s="32"/>
      <c r="C127" s="39"/>
      <c r="D127" s="85" t="s">
        <v>114</v>
      </c>
      <c r="E127" s="2"/>
      <c r="F127" s="35"/>
      <c r="G127" s="58"/>
      <c r="H127" s="56">
        <v>1600</v>
      </c>
    </row>
    <row r="128" spans="1:26" ht="14.25" customHeight="1" x14ac:dyDescent="0.3">
      <c r="B128" s="32"/>
      <c r="C128" s="39"/>
      <c r="D128" s="85" t="s">
        <v>115</v>
      </c>
      <c r="E128" s="2"/>
      <c r="F128" s="35"/>
      <c r="G128" s="58"/>
      <c r="H128" s="56">
        <v>0</v>
      </c>
    </row>
    <row r="129" spans="1:26" ht="14.25" customHeight="1" x14ac:dyDescent="0.3">
      <c r="B129" s="32"/>
      <c r="C129" s="39"/>
      <c r="D129" s="85" t="s">
        <v>116</v>
      </c>
      <c r="E129" s="2"/>
      <c r="F129" s="35"/>
      <c r="G129" s="58"/>
      <c r="H129" s="56">
        <v>360</v>
      </c>
    </row>
    <row r="130" spans="1:26" ht="14.25" customHeight="1" x14ac:dyDescent="0.3">
      <c r="B130" s="32"/>
      <c r="C130" s="39"/>
      <c r="D130" s="85" t="s">
        <v>117</v>
      </c>
      <c r="E130" s="2"/>
      <c r="F130" s="35"/>
      <c r="G130" s="58"/>
      <c r="H130" s="56">
        <v>0</v>
      </c>
    </row>
    <row r="131" spans="1:26" ht="14.25" customHeight="1" x14ac:dyDescent="0.3">
      <c r="B131" s="32"/>
      <c r="C131" s="39"/>
      <c r="D131" s="32" t="s">
        <v>118</v>
      </c>
      <c r="E131" s="2"/>
      <c r="F131" s="35"/>
      <c r="G131" s="58"/>
      <c r="H131" s="56">
        <v>375</v>
      </c>
    </row>
    <row r="132" spans="1:26" ht="14.25" customHeight="1" x14ac:dyDescent="0.3">
      <c r="B132" s="32"/>
      <c r="C132" s="39"/>
      <c r="D132" s="32"/>
      <c r="E132" s="2"/>
      <c r="F132" s="35"/>
      <c r="G132" s="2"/>
      <c r="H132" s="58"/>
    </row>
    <row r="133" spans="1:26" ht="14.25" customHeight="1" x14ac:dyDescent="0.3">
      <c r="A133" s="48"/>
      <c r="B133" s="135" t="s">
        <v>119</v>
      </c>
      <c r="C133" s="136"/>
      <c r="D133" s="137"/>
      <c r="E133" s="49"/>
      <c r="F133" s="50"/>
      <c r="G133" s="51"/>
      <c r="H133" s="49">
        <f>SUM(H134)</f>
        <v>0</v>
      </c>
      <c r="I133" s="52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</row>
    <row r="134" spans="1:26" ht="14.25" customHeight="1" x14ac:dyDescent="0.3">
      <c r="B134" s="32"/>
      <c r="C134" s="39"/>
      <c r="D134" s="32" t="s">
        <v>120</v>
      </c>
      <c r="E134" s="2"/>
      <c r="F134" s="35"/>
      <c r="G134" s="58"/>
      <c r="H134" s="58">
        <f>E134*G134</f>
        <v>0</v>
      </c>
    </row>
    <row r="135" spans="1:26" ht="14.25" customHeight="1" x14ac:dyDescent="0.3">
      <c r="B135" s="32"/>
      <c r="C135" s="39"/>
      <c r="D135" s="32"/>
      <c r="E135" s="2"/>
      <c r="F135" s="35"/>
      <c r="G135" s="58"/>
      <c r="H135" s="58"/>
    </row>
    <row r="136" spans="1:26" ht="14.25" customHeight="1" x14ac:dyDescent="0.3">
      <c r="B136" s="32"/>
      <c r="C136" s="39"/>
      <c r="D136" s="32"/>
      <c r="E136" s="2"/>
      <c r="F136" s="35"/>
      <c r="G136" s="58"/>
      <c r="H136" s="58"/>
    </row>
    <row r="137" spans="1:26" ht="14.25" customHeight="1" x14ac:dyDescent="0.3">
      <c r="A137" s="48"/>
      <c r="B137" s="135" t="s">
        <v>121</v>
      </c>
      <c r="C137" s="136"/>
      <c r="D137" s="137"/>
      <c r="E137" s="49"/>
      <c r="F137" s="50"/>
      <c r="G137" s="51"/>
      <c r="H137" s="49">
        <f>SUM(H138:H140)</f>
        <v>0</v>
      </c>
      <c r="I137" s="52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</row>
    <row r="138" spans="1:26" ht="14.25" customHeight="1" x14ac:dyDescent="0.3">
      <c r="B138" s="32"/>
      <c r="C138" s="39"/>
      <c r="D138" s="32" t="s">
        <v>120</v>
      </c>
      <c r="E138" s="2"/>
      <c r="F138" s="35"/>
      <c r="G138" s="58"/>
      <c r="H138" s="58">
        <f t="shared" ref="H138:H140" si="8">E138*G138</f>
        <v>0</v>
      </c>
    </row>
    <row r="139" spans="1:26" ht="14.25" customHeight="1" x14ac:dyDescent="0.3">
      <c r="B139" s="32"/>
      <c r="C139" s="39"/>
      <c r="D139" s="32"/>
      <c r="E139" s="2"/>
      <c r="F139" s="35"/>
      <c r="G139" s="58"/>
      <c r="H139" s="58">
        <f t="shared" si="8"/>
        <v>0</v>
      </c>
    </row>
    <row r="140" spans="1:26" ht="14.25" customHeight="1" x14ac:dyDescent="0.3">
      <c r="B140" s="32"/>
      <c r="C140" s="39"/>
      <c r="D140" s="32"/>
      <c r="E140" s="2"/>
      <c r="F140" s="35"/>
      <c r="G140" s="58"/>
      <c r="H140" s="58">
        <f t="shared" si="8"/>
        <v>0</v>
      </c>
    </row>
    <row r="141" spans="1:26" ht="14.25" customHeight="1" x14ac:dyDescent="0.3">
      <c r="B141" s="32"/>
      <c r="C141" s="39"/>
      <c r="D141" s="32"/>
      <c r="E141" s="2"/>
      <c r="F141" s="35"/>
      <c r="G141" s="2"/>
      <c r="H141" s="58"/>
    </row>
    <row r="142" spans="1:26" ht="14.25" customHeight="1" x14ac:dyDescent="0.3">
      <c r="A142" s="48"/>
      <c r="B142" s="135" t="s">
        <v>122</v>
      </c>
      <c r="C142" s="136"/>
      <c r="D142" s="137"/>
      <c r="E142" s="49"/>
      <c r="F142" s="50"/>
      <c r="G142" s="51"/>
      <c r="H142" s="49">
        <f>SUM(H143:H148)</f>
        <v>27835</v>
      </c>
      <c r="I142" s="52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</row>
    <row r="143" spans="1:26" ht="14.25" customHeight="1" x14ac:dyDescent="0.3">
      <c r="B143" s="32"/>
      <c r="C143" s="39"/>
      <c r="D143" s="32" t="s">
        <v>123</v>
      </c>
      <c r="E143" s="2"/>
      <c r="F143" s="35"/>
      <c r="G143" s="58"/>
      <c r="H143" s="56">
        <v>22800</v>
      </c>
      <c r="I143" s="66"/>
      <c r="J143" s="66"/>
      <c r="K143" s="66"/>
      <c r="L143" s="66"/>
    </row>
    <row r="144" spans="1:26" ht="14.25" customHeight="1" x14ac:dyDescent="0.3">
      <c r="B144" s="32"/>
      <c r="C144" s="39"/>
      <c r="D144" s="32" t="s">
        <v>124</v>
      </c>
      <c r="E144" s="2"/>
      <c r="F144" s="35"/>
      <c r="G144" s="58"/>
      <c r="H144" s="56">
        <v>875</v>
      </c>
      <c r="I144" s="66"/>
      <c r="J144" s="66"/>
      <c r="K144" s="66"/>
      <c r="L144" s="66"/>
    </row>
    <row r="145" spans="1:26" ht="14.25" customHeight="1" x14ac:dyDescent="0.3">
      <c r="B145" s="32"/>
      <c r="C145" s="39"/>
      <c r="D145" s="32" t="s">
        <v>125</v>
      </c>
      <c r="E145" s="2"/>
      <c r="F145" s="35"/>
      <c r="G145" s="58"/>
      <c r="H145" s="58">
        <f>E145*G145</f>
        <v>0</v>
      </c>
      <c r="I145" s="66"/>
      <c r="J145" s="66"/>
      <c r="K145" s="66"/>
      <c r="L145" s="66"/>
    </row>
    <row r="146" spans="1:26" ht="14.25" customHeight="1" x14ac:dyDescent="0.3">
      <c r="B146" s="32"/>
      <c r="C146" s="39"/>
      <c r="D146" s="39" t="s">
        <v>126</v>
      </c>
      <c r="E146" s="2"/>
      <c r="F146" s="35"/>
      <c r="G146" s="58"/>
      <c r="H146" s="56">
        <v>2000</v>
      </c>
      <c r="I146" s="66"/>
      <c r="J146" s="66"/>
      <c r="K146" s="66"/>
      <c r="L146" s="66"/>
    </row>
    <row r="147" spans="1:26" ht="14.25" customHeight="1" x14ac:dyDescent="0.3">
      <c r="B147" s="32"/>
      <c r="C147" s="39"/>
      <c r="D147" s="39" t="s">
        <v>127</v>
      </c>
      <c r="E147" s="2"/>
      <c r="F147" s="35"/>
      <c r="G147" s="58"/>
      <c r="H147" s="56">
        <v>1200</v>
      </c>
      <c r="I147" s="66"/>
      <c r="J147" s="66"/>
      <c r="K147" s="66"/>
      <c r="L147" s="66"/>
    </row>
    <row r="148" spans="1:26" ht="14.25" customHeight="1" x14ac:dyDescent="0.3">
      <c r="B148" s="32"/>
      <c r="C148" s="39"/>
      <c r="D148" s="32" t="s">
        <v>128</v>
      </c>
      <c r="E148" s="2"/>
      <c r="F148" s="35"/>
      <c r="G148" s="2"/>
      <c r="H148" s="58">
        <v>960</v>
      </c>
      <c r="I148" s="66"/>
      <c r="J148" s="66"/>
      <c r="K148" s="66"/>
      <c r="L148" s="66"/>
    </row>
    <row r="149" spans="1:26" ht="14.25" customHeight="1" x14ac:dyDescent="0.3">
      <c r="A149" s="48"/>
      <c r="B149" s="135" t="s">
        <v>129</v>
      </c>
      <c r="C149" s="136"/>
      <c r="D149" s="137"/>
      <c r="E149" s="49"/>
      <c r="F149" s="50"/>
      <c r="G149" s="51"/>
      <c r="H149" s="49">
        <f>SUM(H150:H157)</f>
        <v>21520</v>
      </c>
      <c r="I149" s="52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</row>
    <row r="150" spans="1:26" ht="14.25" customHeight="1" x14ac:dyDescent="0.3">
      <c r="B150" s="32"/>
      <c r="C150" s="39"/>
      <c r="D150" s="33" t="s">
        <v>130</v>
      </c>
      <c r="E150" s="2"/>
      <c r="F150" s="35"/>
      <c r="G150" s="58"/>
      <c r="H150" s="58">
        <v>19750</v>
      </c>
      <c r="I150" s="66"/>
      <c r="J150" s="66"/>
      <c r="K150" s="66"/>
    </row>
    <row r="151" spans="1:26" ht="14.25" customHeight="1" x14ac:dyDescent="0.3">
      <c r="B151" s="32"/>
      <c r="C151" s="39"/>
      <c r="D151" s="85" t="s">
        <v>131</v>
      </c>
      <c r="E151" s="2"/>
      <c r="F151" s="35"/>
      <c r="G151" s="58"/>
      <c r="H151" s="58"/>
      <c r="I151" s="66"/>
      <c r="J151" s="66"/>
      <c r="K151" s="66"/>
    </row>
    <row r="152" spans="1:26" ht="14.25" customHeight="1" x14ac:dyDescent="0.3">
      <c r="B152" s="32"/>
      <c r="C152" s="39"/>
      <c r="D152" s="85" t="s">
        <v>132</v>
      </c>
      <c r="E152" s="2"/>
      <c r="F152" s="35"/>
      <c r="G152" s="58"/>
      <c r="H152" s="58"/>
      <c r="I152" s="66"/>
      <c r="J152" s="66"/>
      <c r="K152" s="66"/>
    </row>
    <row r="153" spans="1:26" ht="14.25" customHeight="1" x14ac:dyDescent="0.3">
      <c r="B153" s="32"/>
      <c r="C153" s="39"/>
      <c r="D153" s="85" t="s">
        <v>133</v>
      </c>
      <c r="E153" s="2"/>
      <c r="F153" s="35"/>
      <c r="G153" s="58"/>
      <c r="H153" s="58"/>
      <c r="I153" s="66"/>
      <c r="J153" s="66"/>
      <c r="K153" s="66"/>
    </row>
    <row r="154" spans="1:26" ht="14.25" customHeight="1" x14ac:dyDescent="0.3">
      <c r="B154" s="32"/>
      <c r="C154" s="39"/>
      <c r="D154" s="85" t="s">
        <v>134</v>
      </c>
      <c r="E154" s="2"/>
      <c r="F154" s="35"/>
      <c r="G154" s="58"/>
      <c r="H154" s="58"/>
      <c r="I154" s="66"/>
      <c r="J154" s="66"/>
      <c r="K154" s="66"/>
    </row>
    <row r="155" spans="1:26" ht="14.25" customHeight="1" x14ac:dyDescent="0.3">
      <c r="B155" s="32"/>
      <c r="C155" s="39"/>
      <c r="D155" s="86" t="s">
        <v>135</v>
      </c>
      <c r="E155" s="2"/>
      <c r="F155" s="35"/>
      <c r="G155" s="58"/>
      <c r="H155" s="58">
        <f>E155*G155</f>
        <v>0</v>
      </c>
      <c r="I155" s="66"/>
      <c r="J155" s="66"/>
      <c r="K155" s="66"/>
    </row>
    <row r="156" spans="1:26" ht="14.25" customHeight="1" x14ac:dyDescent="0.3">
      <c r="B156" s="32"/>
      <c r="C156" s="39"/>
      <c r="D156" s="32" t="s">
        <v>136</v>
      </c>
      <c r="E156" s="2"/>
      <c r="F156" s="35"/>
      <c r="G156" s="58"/>
      <c r="H156" s="56">
        <v>570</v>
      </c>
      <c r="I156" s="66"/>
      <c r="J156" s="66"/>
      <c r="K156" s="66"/>
    </row>
    <row r="157" spans="1:26" ht="14.25" customHeight="1" x14ac:dyDescent="0.3">
      <c r="B157" s="32"/>
      <c r="C157" s="39"/>
      <c r="D157" s="39" t="s">
        <v>137</v>
      </c>
      <c r="E157" s="2"/>
      <c r="F157" s="35"/>
      <c r="G157" s="58"/>
      <c r="H157" s="56">
        <v>1200</v>
      </c>
      <c r="I157" s="66"/>
      <c r="J157" s="66"/>
      <c r="K157" s="66"/>
    </row>
    <row r="158" spans="1:26" ht="14.25" customHeight="1" x14ac:dyDescent="0.3">
      <c r="B158" s="32"/>
      <c r="C158" s="39"/>
      <c r="D158" s="39"/>
      <c r="E158" s="2"/>
      <c r="F158" s="35"/>
      <c r="G158" s="58"/>
      <c r="H158" s="58"/>
    </row>
    <row r="159" spans="1:26" ht="14.25" customHeight="1" x14ac:dyDescent="0.3">
      <c r="A159" s="48"/>
      <c r="B159" s="135" t="s">
        <v>138</v>
      </c>
      <c r="C159" s="136"/>
      <c r="D159" s="137"/>
      <c r="E159" s="49"/>
      <c r="F159" s="50"/>
      <c r="G159" s="51"/>
      <c r="H159" s="49">
        <f>SUM(H160:H166)</f>
        <v>125275</v>
      </c>
      <c r="I159" s="87"/>
      <c r="J159" s="88"/>
      <c r="K159" s="88"/>
      <c r="L159" s="88"/>
      <c r="M159" s="88"/>
      <c r="N159" s="89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</row>
    <row r="160" spans="1:26" ht="14.25" customHeight="1" x14ac:dyDescent="0.3">
      <c r="B160" s="32"/>
      <c r="C160" s="39"/>
      <c r="D160" s="82" t="s">
        <v>139</v>
      </c>
      <c r="E160" s="2"/>
      <c r="F160" s="35"/>
      <c r="G160" s="58"/>
      <c r="H160" s="56">
        <v>119875</v>
      </c>
      <c r="I160" s="65"/>
      <c r="J160" s="65"/>
      <c r="K160" s="65"/>
      <c r="L160" s="65"/>
      <c r="M160" s="65"/>
      <c r="N160" s="65"/>
    </row>
    <row r="161" spans="1:26" ht="14.25" customHeight="1" x14ac:dyDescent="0.3">
      <c r="B161" s="32"/>
      <c r="C161" s="39"/>
      <c r="D161" s="32" t="s">
        <v>140</v>
      </c>
      <c r="E161" s="2"/>
      <c r="F161" s="35"/>
      <c r="G161" s="58"/>
      <c r="H161" s="58">
        <f t="shared" ref="H161:H162" si="9">E161*G161</f>
        <v>0</v>
      </c>
      <c r="L161" s="65"/>
    </row>
    <row r="162" spans="1:26" ht="14.25" customHeight="1" x14ac:dyDescent="0.3">
      <c r="B162" s="32"/>
      <c r="C162" s="39"/>
      <c r="D162" s="32" t="s">
        <v>141</v>
      </c>
      <c r="E162" s="2"/>
      <c r="F162" s="35"/>
      <c r="G162" s="58"/>
      <c r="H162" s="58">
        <f t="shared" si="9"/>
        <v>0</v>
      </c>
      <c r="L162" s="65"/>
    </row>
    <row r="163" spans="1:26" ht="14.25" customHeight="1" x14ac:dyDescent="0.3">
      <c r="B163" s="32"/>
      <c r="C163" s="39"/>
      <c r="D163" s="32" t="s">
        <v>142</v>
      </c>
      <c r="E163" s="2"/>
      <c r="F163" s="35"/>
      <c r="G163" s="58"/>
      <c r="H163" s="56">
        <v>3600</v>
      </c>
      <c r="L163" s="65"/>
    </row>
    <row r="164" spans="1:26" ht="14.25" customHeight="1" x14ac:dyDescent="0.3">
      <c r="B164" s="32"/>
      <c r="C164" s="39"/>
      <c r="D164" s="32" t="s">
        <v>143</v>
      </c>
      <c r="E164" s="90" t="s">
        <v>144</v>
      </c>
      <c r="F164" s="91"/>
      <c r="G164" s="92"/>
      <c r="H164" s="58">
        <v>0</v>
      </c>
      <c r="I164" s="65"/>
    </row>
    <row r="165" spans="1:26" ht="14.25" customHeight="1" x14ac:dyDescent="0.3">
      <c r="B165" s="32"/>
      <c r="C165" s="39"/>
      <c r="D165" s="32" t="s">
        <v>145</v>
      </c>
      <c r="E165" s="2"/>
      <c r="F165" s="35"/>
      <c r="G165" s="58"/>
      <c r="H165" s="56">
        <v>1800</v>
      </c>
    </row>
    <row r="166" spans="1:26" ht="14.25" customHeight="1" x14ac:dyDescent="0.3">
      <c r="B166" s="32"/>
      <c r="C166" s="39"/>
      <c r="D166" s="39" t="s">
        <v>127</v>
      </c>
      <c r="E166" s="2"/>
      <c r="F166" s="35"/>
      <c r="G166" s="58"/>
      <c r="H166" s="58">
        <f>E166*G166</f>
        <v>0</v>
      </c>
    </row>
    <row r="167" spans="1:26" ht="14.25" customHeight="1" x14ac:dyDescent="0.3">
      <c r="B167" s="32"/>
      <c r="C167" s="39"/>
      <c r="D167" s="32"/>
      <c r="E167" s="2"/>
      <c r="F167" s="35"/>
      <c r="G167" s="2"/>
      <c r="H167" s="58"/>
    </row>
    <row r="168" spans="1:26" ht="14.25" customHeight="1" x14ac:dyDescent="0.3">
      <c r="A168" s="48"/>
      <c r="B168" s="135" t="s">
        <v>146</v>
      </c>
      <c r="C168" s="136"/>
      <c r="D168" s="137"/>
      <c r="E168" s="49"/>
      <c r="F168" s="50"/>
      <c r="G168" s="51"/>
      <c r="H168" s="49">
        <f>SUM(H169:H187)</f>
        <v>142948</v>
      </c>
      <c r="I168" s="52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</row>
    <row r="169" spans="1:26" ht="14.25" customHeight="1" x14ac:dyDescent="0.3">
      <c r="B169" s="32"/>
      <c r="C169" s="39"/>
      <c r="D169" s="32" t="s">
        <v>147</v>
      </c>
      <c r="E169" s="2"/>
      <c r="F169" s="35"/>
      <c r="G169" s="58"/>
      <c r="H169" s="126">
        <v>92165</v>
      </c>
      <c r="I169" s="66"/>
      <c r="J169" s="66"/>
      <c r="K169" s="66"/>
    </row>
    <row r="170" spans="1:26" ht="14.25" customHeight="1" x14ac:dyDescent="0.3">
      <c r="B170" s="32"/>
      <c r="C170" s="39"/>
      <c r="D170" s="32" t="s">
        <v>148</v>
      </c>
      <c r="E170" s="2"/>
      <c r="F170" s="93"/>
      <c r="G170" s="58"/>
      <c r="H170" s="58">
        <v>0</v>
      </c>
      <c r="I170" s="66"/>
      <c r="J170" s="66"/>
      <c r="K170" s="66"/>
    </row>
    <row r="171" spans="1:26" ht="14.25" customHeight="1" x14ac:dyDescent="0.3">
      <c r="B171" s="32"/>
      <c r="C171" s="39"/>
      <c r="D171" s="32" t="s">
        <v>149</v>
      </c>
      <c r="E171" s="2"/>
      <c r="F171" s="35"/>
      <c r="G171" s="58"/>
      <c r="H171" s="58">
        <v>0</v>
      </c>
      <c r="I171" s="66"/>
      <c r="J171" s="66"/>
      <c r="K171" s="66"/>
    </row>
    <row r="172" spans="1:26" ht="14.25" customHeight="1" x14ac:dyDescent="0.3">
      <c r="B172" s="32"/>
      <c r="C172" s="39"/>
      <c r="D172" s="32" t="s">
        <v>150</v>
      </c>
      <c r="E172" s="2"/>
      <c r="F172" s="35"/>
      <c r="G172" s="58"/>
      <c r="H172" s="56">
        <v>6775</v>
      </c>
      <c r="I172" s="66"/>
      <c r="J172" s="66"/>
      <c r="K172" s="66"/>
    </row>
    <row r="173" spans="1:26" ht="14.25" customHeight="1" x14ac:dyDescent="0.3">
      <c r="B173" s="32"/>
      <c r="C173" s="39"/>
      <c r="D173" s="32" t="s">
        <v>151</v>
      </c>
      <c r="E173" s="2"/>
      <c r="F173" s="35"/>
      <c r="G173" s="58"/>
      <c r="H173" s="58">
        <v>0</v>
      </c>
      <c r="I173" s="66"/>
      <c r="J173" s="66"/>
      <c r="K173" s="66"/>
    </row>
    <row r="174" spans="1:26" ht="14.25" customHeight="1" x14ac:dyDescent="0.3">
      <c r="B174" s="32"/>
      <c r="C174" s="39"/>
      <c r="D174" s="32" t="s">
        <v>152</v>
      </c>
      <c r="E174" s="2"/>
      <c r="F174" s="35"/>
      <c r="G174" s="58"/>
      <c r="H174" s="58">
        <v>0</v>
      </c>
      <c r="I174" s="66"/>
      <c r="J174" s="66"/>
      <c r="K174" s="78"/>
    </row>
    <row r="175" spans="1:26" ht="14.25" customHeight="1" x14ac:dyDescent="0.3">
      <c r="B175" s="32"/>
      <c r="C175" s="39"/>
      <c r="D175" s="124" t="s">
        <v>194</v>
      </c>
      <c r="E175" s="2"/>
      <c r="F175" s="2"/>
      <c r="H175" s="56">
        <v>5925</v>
      </c>
      <c r="I175" s="66"/>
      <c r="J175" s="66"/>
      <c r="K175" s="66"/>
    </row>
    <row r="176" spans="1:26" ht="14.25" customHeight="1" x14ac:dyDescent="0.3">
      <c r="B176" s="32"/>
      <c r="C176" s="39"/>
      <c r="D176" s="73" t="s">
        <v>153</v>
      </c>
      <c r="E176" s="94"/>
      <c r="F176" s="2"/>
      <c r="H176" s="58">
        <v>0</v>
      </c>
      <c r="I176" s="66"/>
      <c r="J176" s="66"/>
      <c r="K176" s="66"/>
    </row>
    <row r="177" spans="2:14" ht="14.25" customHeight="1" x14ac:dyDescent="0.3">
      <c r="B177" s="32"/>
      <c r="C177" s="39"/>
      <c r="D177" s="32" t="s">
        <v>154</v>
      </c>
      <c r="E177" s="2"/>
      <c r="F177" s="2"/>
      <c r="H177" s="58">
        <v>0</v>
      </c>
      <c r="I177" s="66"/>
      <c r="J177" s="66"/>
      <c r="K177" s="66"/>
    </row>
    <row r="178" spans="2:14" ht="14.25" customHeight="1" x14ac:dyDescent="0.3">
      <c r="B178" s="32"/>
      <c r="C178" s="39"/>
      <c r="D178" s="73" t="s">
        <v>155</v>
      </c>
      <c r="E178" s="2"/>
      <c r="F178" s="2"/>
      <c r="H178" s="58">
        <v>0</v>
      </c>
      <c r="I178" s="66"/>
      <c r="J178" s="66"/>
      <c r="K178" s="66"/>
    </row>
    <row r="179" spans="2:14" ht="14.25" customHeight="1" x14ac:dyDescent="0.3">
      <c r="B179" s="32"/>
      <c r="C179" s="39"/>
      <c r="D179" s="32" t="s">
        <v>156</v>
      </c>
      <c r="E179" s="2"/>
      <c r="F179" s="35"/>
      <c r="G179" s="58"/>
      <c r="H179" s="58">
        <v>0</v>
      </c>
      <c r="I179" s="66"/>
      <c r="J179" s="66"/>
      <c r="K179" s="66"/>
    </row>
    <row r="180" spans="2:14" ht="14.25" customHeight="1" x14ac:dyDescent="0.3">
      <c r="B180" s="32"/>
      <c r="C180" s="39"/>
      <c r="D180" s="32" t="s">
        <v>157</v>
      </c>
      <c r="E180" s="2"/>
      <c r="F180" s="35"/>
      <c r="G180" s="58"/>
      <c r="H180" s="58">
        <v>0</v>
      </c>
      <c r="I180" s="66"/>
      <c r="J180" s="66"/>
      <c r="K180" s="66"/>
    </row>
    <row r="181" spans="2:14" ht="14.25" customHeight="1" x14ac:dyDescent="0.3">
      <c r="B181" s="32"/>
      <c r="C181" s="39"/>
      <c r="D181" s="32" t="s">
        <v>158</v>
      </c>
      <c r="E181" s="2"/>
      <c r="F181" s="35"/>
      <c r="G181" s="58"/>
      <c r="H181" s="58">
        <v>200</v>
      </c>
      <c r="I181" s="66"/>
      <c r="J181" s="95"/>
      <c r="K181" s="66"/>
    </row>
    <row r="182" spans="2:14" ht="14.25" customHeight="1" x14ac:dyDescent="0.3">
      <c r="B182" s="32"/>
      <c r="C182" s="39"/>
      <c r="D182" s="32" t="s">
        <v>159</v>
      </c>
      <c r="E182" s="2"/>
      <c r="F182" s="35"/>
      <c r="G182" s="58"/>
      <c r="H182" s="56">
        <v>790</v>
      </c>
      <c r="I182" s="66"/>
      <c r="J182" s="66"/>
      <c r="K182" s="66"/>
    </row>
    <row r="183" spans="2:14" ht="14.25" customHeight="1" x14ac:dyDescent="0.3">
      <c r="B183" s="32"/>
      <c r="C183" s="39"/>
      <c r="D183" s="32" t="s">
        <v>204</v>
      </c>
      <c r="E183" s="2"/>
      <c r="F183" s="35"/>
      <c r="G183" s="58"/>
      <c r="H183" s="58">
        <v>13480</v>
      </c>
      <c r="I183" s="130" t="s">
        <v>205</v>
      </c>
      <c r="J183" s="130"/>
      <c r="K183" s="130"/>
      <c r="L183" s="121"/>
      <c r="M183" s="121"/>
      <c r="N183" s="121"/>
    </row>
    <row r="184" spans="2:14" ht="14.25" customHeight="1" x14ac:dyDescent="0.3">
      <c r="B184" s="32"/>
      <c r="C184" s="39"/>
      <c r="D184" s="32" t="s">
        <v>160</v>
      </c>
      <c r="E184" s="2"/>
      <c r="F184" s="35"/>
      <c r="G184" s="58"/>
      <c r="H184" s="58">
        <v>0</v>
      </c>
      <c r="I184" s="66"/>
      <c r="J184" s="66"/>
      <c r="K184" s="66"/>
    </row>
    <row r="185" spans="2:14" ht="14.25" customHeight="1" x14ac:dyDescent="0.3">
      <c r="B185" s="32"/>
      <c r="C185" s="39"/>
      <c r="D185" s="39" t="s">
        <v>161</v>
      </c>
      <c r="E185" s="2"/>
      <c r="F185" s="35"/>
      <c r="G185" s="58"/>
      <c r="H185" s="56">
        <v>22938</v>
      </c>
      <c r="I185" s="66"/>
      <c r="J185" s="66"/>
      <c r="K185" s="66"/>
    </row>
    <row r="186" spans="2:14" ht="14.25" customHeight="1" x14ac:dyDescent="0.3">
      <c r="B186" s="32"/>
      <c r="C186" s="39"/>
      <c r="D186" s="122" t="s">
        <v>193</v>
      </c>
      <c r="E186" s="2"/>
      <c r="F186" s="35"/>
      <c r="G186" s="2"/>
      <c r="H186" s="56"/>
      <c r="I186" s="66"/>
      <c r="J186" s="66"/>
      <c r="K186" s="66"/>
    </row>
    <row r="187" spans="2:14" ht="14.25" customHeight="1" x14ac:dyDescent="0.3">
      <c r="B187" s="32"/>
      <c r="C187" s="39"/>
      <c r="D187" s="39" t="s">
        <v>162</v>
      </c>
      <c r="E187" s="2"/>
      <c r="F187" s="35"/>
      <c r="G187" s="2"/>
      <c r="H187" s="56">
        <v>675</v>
      </c>
      <c r="I187" s="66"/>
      <c r="J187" s="66"/>
      <c r="K187" s="66"/>
    </row>
    <row r="188" spans="2:14" ht="14.25" customHeight="1" x14ac:dyDescent="0.3">
      <c r="B188" s="144" t="s">
        <v>163</v>
      </c>
      <c r="C188" s="145"/>
      <c r="D188" s="146"/>
      <c r="E188" s="96"/>
      <c r="F188" s="97"/>
      <c r="G188" s="96"/>
      <c r="H188" s="98">
        <f>H20+H36+H39+H48+H55+H66+H74+H82+H98+H110+H125+H133+H137+H142+H149+H159+H168</f>
        <v>922291</v>
      </c>
    </row>
    <row r="189" spans="2:14" ht="14.25" customHeight="1" x14ac:dyDescent="0.3">
      <c r="B189" s="32"/>
      <c r="C189" s="39"/>
      <c r="D189" s="32"/>
      <c r="E189" s="2"/>
      <c r="F189" s="35"/>
      <c r="G189" s="2"/>
      <c r="H189" s="58"/>
    </row>
    <row r="190" spans="2:14" ht="14.25" customHeight="1" x14ac:dyDescent="0.3">
      <c r="B190" s="32"/>
      <c r="C190" s="39"/>
      <c r="D190" s="32"/>
      <c r="E190" s="2"/>
      <c r="F190" s="35"/>
      <c r="G190" s="2"/>
      <c r="H190" s="58"/>
    </row>
    <row r="191" spans="2:14" ht="14.25" customHeight="1" x14ac:dyDescent="0.3">
      <c r="B191" s="140" t="s">
        <v>164</v>
      </c>
      <c r="C191" s="141"/>
      <c r="D191" s="142"/>
      <c r="E191" s="140"/>
      <c r="F191" s="141"/>
      <c r="G191" s="142"/>
      <c r="H191" s="99">
        <f>SUM(H194:H203)</f>
        <v>313845.83</v>
      </c>
    </row>
    <row r="192" spans="2:14" ht="14.25" customHeight="1" x14ac:dyDescent="0.3">
      <c r="B192" s="32"/>
      <c r="C192" s="39"/>
      <c r="D192" s="32"/>
      <c r="E192" s="2"/>
      <c r="F192" s="35"/>
      <c r="H192" s="100"/>
      <c r="I192" s="101"/>
    </row>
    <row r="193" spans="2:23" ht="14.25" customHeight="1" x14ac:dyDescent="0.3">
      <c r="B193" s="53" t="s">
        <v>165</v>
      </c>
      <c r="C193" s="39"/>
      <c r="D193" s="33" t="s">
        <v>166</v>
      </c>
      <c r="E193" s="2"/>
      <c r="F193" s="35"/>
      <c r="G193" s="2"/>
      <c r="H193" s="102"/>
      <c r="I193" s="101"/>
    </row>
    <row r="194" spans="2:23" ht="14.25" customHeight="1" x14ac:dyDescent="0.3">
      <c r="B194" s="32"/>
      <c r="C194" s="39"/>
      <c r="D194" s="32" t="s">
        <v>167</v>
      </c>
      <c r="E194" s="2"/>
      <c r="F194" s="2"/>
      <c r="G194" s="2"/>
      <c r="H194" s="102">
        <f>E194*G194</f>
        <v>0</v>
      </c>
      <c r="I194" s="101"/>
    </row>
    <row r="195" spans="2:23" ht="14.25" customHeight="1" x14ac:dyDescent="0.3">
      <c r="B195" s="32"/>
      <c r="C195" s="39"/>
      <c r="D195" s="32" t="s">
        <v>168</v>
      </c>
      <c r="E195" s="2" t="s">
        <v>169</v>
      </c>
      <c r="F195" s="2">
        <v>15</v>
      </c>
      <c r="G195" s="103">
        <v>3200</v>
      </c>
      <c r="H195" s="102">
        <f t="shared" ref="H195:H196" si="10">SUM(F195*G195)</f>
        <v>48000</v>
      </c>
      <c r="I195" s="101"/>
    </row>
    <row r="196" spans="2:23" ht="14.25" customHeight="1" x14ac:dyDescent="0.3">
      <c r="B196" s="32"/>
      <c r="C196" s="39"/>
      <c r="D196" s="32" t="s">
        <v>170</v>
      </c>
      <c r="E196" s="2" t="s">
        <v>169</v>
      </c>
      <c r="F196" s="2">
        <v>25</v>
      </c>
      <c r="G196" s="103">
        <v>3950</v>
      </c>
      <c r="H196" s="102">
        <f t="shared" si="10"/>
        <v>98750</v>
      </c>
      <c r="I196" s="101"/>
    </row>
    <row r="197" spans="2:23" ht="14.25" customHeight="1" x14ac:dyDescent="0.3">
      <c r="B197" s="32"/>
      <c r="C197" s="39"/>
      <c r="D197" s="32" t="s">
        <v>171</v>
      </c>
      <c r="E197" s="2"/>
      <c r="F197" s="2" t="s">
        <v>172</v>
      </c>
      <c r="G197" s="103" t="s">
        <v>173</v>
      </c>
      <c r="H197" s="102">
        <v>24000</v>
      </c>
      <c r="I197" s="101"/>
    </row>
    <row r="198" spans="2:23" ht="14.25" customHeight="1" x14ac:dyDescent="0.3">
      <c r="B198" s="32"/>
      <c r="C198" s="39"/>
      <c r="D198" s="32" t="s">
        <v>174</v>
      </c>
      <c r="E198" s="2"/>
      <c r="F198" s="2" t="s">
        <v>175</v>
      </c>
      <c r="G198" s="103">
        <v>1350</v>
      </c>
      <c r="H198" s="102">
        <v>9450</v>
      </c>
      <c r="I198" s="101"/>
    </row>
    <row r="199" spans="2:23" ht="14.25" customHeight="1" x14ac:dyDescent="0.3">
      <c r="B199" s="32"/>
      <c r="C199" s="39"/>
      <c r="D199" s="32" t="s">
        <v>176</v>
      </c>
      <c r="E199" s="2"/>
      <c r="F199" s="2"/>
      <c r="G199" s="2"/>
      <c r="H199" s="104">
        <v>13748</v>
      </c>
      <c r="I199" s="101"/>
    </row>
    <row r="200" spans="2:23" ht="14.25" customHeight="1" x14ac:dyDescent="0.3">
      <c r="B200" s="32"/>
      <c r="C200" s="39"/>
      <c r="D200" s="39" t="s">
        <v>63</v>
      </c>
      <c r="E200" s="2"/>
      <c r="F200" s="2"/>
      <c r="G200" s="2"/>
      <c r="H200" s="102">
        <f>E200*G200</f>
        <v>0</v>
      </c>
      <c r="I200" s="101"/>
    </row>
    <row r="201" spans="2:23" ht="14.25" customHeight="1" x14ac:dyDescent="0.3">
      <c r="B201" s="33" t="s">
        <v>177</v>
      </c>
      <c r="C201" s="39"/>
      <c r="D201" s="32"/>
      <c r="E201" s="2"/>
      <c r="F201" s="2"/>
      <c r="G201" s="2"/>
      <c r="H201" s="102"/>
      <c r="I201" s="101"/>
      <c r="K201" s="125"/>
    </row>
    <row r="202" spans="2:23" ht="14.25" customHeight="1" x14ac:dyDescent="0.3">
      <c r="B202" s="138" t="s">
        <v>178</v>
      </c>
      <c r="C202" s="139"/>
      <c r="D202" s="139"/>
      <c r="E202" s="105" t="s">
        <v>179</v>
      </c>
      <c r="F202" s="106">
        <v>0.115</v>
      </c>
      <c r="G202" s="107">
        <f>SUM(H188*F202)</f>
        <v>106063.46500000001</v>
      </c>
      <c r="H202" s="104">
        <f>G202</f>
        <v>106063.46500000001</v>
      </c>
      <c r="I202" s="101"/>
    </row>
    <row r="203" spans="2:23" ht="14.25" customHeight="1" x14ac:dyDescent="0.3">
      <c r="B203" s="143" t="s">
        <v>180</v>
      </c>
      <c r="C203" s="134"/>
      <c r="D203" s="134"/>
      <c r="E203" s="2"/>
      <c r="F203" s="105">
        <v>1.4999999999999999E-2</v>
      </c>
      <c r="G203" s="107"/>
      <c r="H203" s="108">
        <f>SUM(F203*H188)</f>
        <v>13834.365</v>
      </c>
      <c r="I203" s="101"/>
    </row>
    <row r="204" spans="2:23" ht="14.25" customHeight="1" x14ac:dyDescent="0.3">
      <c r="B204" s="144" t="s">
        <v>181</v>
      </c>
      <c r="C204" s="145"/>
      <c r="D204" s="146"/>
      <c r="E204" s="96"/>
      <c r="F204" s="97"/>
      <c r="G204" s="96"/>
      <c r="H204" s="109">
        <f>SUM(H188+H191)</f>
        <v>1236136.83</v>
      </c>
      <c r="I204" s="121" t="s">
        <v>196</v>
      </c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</row>
    <row r="205" spans="2:23" ht="14.25" customHeight="1" x14ac:dyDescent="0.3">
      <c r="B205" s="32"/>
      <c r="C205" s="39"/>
      <c r="D205" s="32"/>
      <c r="E205" s="2"/>
      <c r="F205" s="35"/>
      <c r="G205" s="2"/>
      <c r="H205" s="58"/>
      <c r="I205" s="101"/>
    </row>
    <row r="206" spans="2:23" ht="14.25" customHeight="1" x14ac:dyDescent="0.3">
      <c r="B206" s="147" t="s">
        <v>182</v>
      </c>
      <c r="C206" s="136"/>
      <c r="D206" s="137"/>
      <c r="E206" s="110"/>
      <c r="F206" s="110"/>
      <c r="G206" s="110"/>
      <c r="H206" s="110"/>
    </row>
    <row r="207" spans="2:23" ht="14.25" customHeight="1" x14ac:dyDescent="0.3">
      <c r="B207" s="32"/>
      <c r="C207" s="39"/>
      <c r="D207" s="32"/>
      <c r="E207" s="2"/>
      <c r="F207" s="35"/>
      <c r="G207" s="2"/>
      <c r="H207" s="58"/>
    </row>
    <row r="208" spans="2:23" ht="14.25" customHeight="1" x14ac:dyDescent="0.3">
      <c r="B208" s="32"/>
      <c r="C208" s="39"/>
      <c r="D208" s="32" t="s">
        <v>183</v>
      </c>
      <c r="E208" s="2"/>
      <c r="F208" s="111">
        <v>0.115</v>
      </c>
      <c r="G208" s="2"/>
      <c r="H208" s="112">
        <v>0.115</v>
      </c>
    </row>
    <row r="209" spans="2:8" ht="14.25" customHeight="1" x14ac:dyDescent="0.3">
      <c r="B209" s="32"/>
      <c r="C209" s="39"/>
      <c r="D209" s="32" t="s">
        <v>184</v>
      </c>
      <c r="E209" s="2"/>
      <c r="F209" s="113">
        <v>9200</v>
      </c>
      <c r="G209" s="2"/>
      <c r="H209" s="58">
        <v>9200</v>
      </c>
    </row>
    <row r="210" spans="2:8" ht="14.25" customHeight="1" x14ac:dyDescent="0.3">
      <c r="B210" s="32"/>
      <c r="C210" s="39"/>
      <c r="D210" s="32" t="s">
        <v>185</v>
      </c>
      <c r="E210" s="2"/>
      <c r="F210" s="114" t="s">
        <v>186</v>
      </c>
      <c r="G210" s="2"/>
      <c r="H210" s="58">
        <v>0</v>
      </c>
    </row>
    <row r="211" spans="2:8" ht="14.25" customHeight="1" x14ac:dyDescent="0.3">
      <c r="B211" s="32"/>
      <c r="C211" s="39"/>
      <c r="D211" s="123" t="s">
        <v>192</v>
      </c>
      <c r="E211" s="2"/>
      <c r="F211" s="35"/>
      <c r="G211" s="2"/>
      <c r="H211" s="58">
        <v>27275</v>
      </c>
    </row>
    <row r="212" spans="2:8" ht="14.25" customHeight="1" x14ac:dyDescent="0.3">
      <c r="B212" s="32"/>
      <c r="C212" s="39"/>
      <c r="D212" s="32"/>
      <c r="E212" s="2"/>
      <c r="F212" s="35"/>
      <c r="G212" s="2"/>
      <c r="H212" s="32"/>
    </row>
    <row r="213" spans="2:8" ht="14.25" customHeight="1" x14ac:dyDescent="0.3">
      <c r="B213" s="32"/>
      <c r="C213" s="39"/>
      <c r="D213" s="32"/>
      <c r="E213" s="32"/>
      <c r="F213" s="35"/>
      <c r="G213" s="2"/>
      <c r="H213" s="32"/>
    </row>
    <row r="214" spans="2:8" ht="14.25" customHeight="1" x14ac:dyDescent="0.3">
      <c r="C214" s="1"/>
      <c r="F214" s="2"/>
      <c r="G214" s="2"/>
    </row>
    <row r="215" spans="2:8" ht="14.25" customHeight="1" x14ac:dyDescent="0.3">
      <c r="C215" s="1"/>
      <c r="F215" s="2"/>
      <c r="G215" s="2"/>
    </row>
    <row r="216" spans="2:8" ht="14.25" customHeight="1" x14ac:dyDescent="0.3">
      <c r="C216" s="1"/>
      <c r="F216" s="2"/>
      <c r="G216" s="2"/>
    </row>
    <row r="217" spans="2:8" ht="14.25" customHeight="1" x14ac:dyDescent="0.3">
      <c r="C217" s="1"/>
      <c r="F217" s="2"/>
      <c r="G217" s="2"/>
    </row>
    <row r="218" spans="2:8" ht="14.25" customHeight="1" x14ac:dyDescent="0.3">
      <c r="C218" s="1"/>
      <c r="F218" s="2"/>
      <c r="G218" s="2"/>
    </row>
    <row r="219" spans="2:8" ht="14.25" customHeight="1" x14ac:dyDescent="0.3">
      <c r="C219" s="1"/>
      <c r="F219" s="2"/>
      <c r="G219" s="2"/>
    </row>
    <row r="220" spans="2:8" ht="14.25" customHeight="1" x14ac:dyDescent="0.3">
      <c r="C220" s="1"/>
      <c r="F220" s="2"/>
      <c r="G220" s="2"/>
    </row>
    <row r="221" spans="2:8" ht="14.25" customHeight="1" x14ac:dyDescent="0.3">
      <c r="C221" s="1"/>
      <c r="F221" s="2"/>
      <c r="G221" s="2"/>
    </row>
    <row r="222" spans="2:8" ht="14.25" customHeight="1" x14ac:dyDescent="0.3">
      <c r="C222" s="1"/>
      <c r="F222" s="2"/>
      <c r="G222" s="2"/>
    </row>
    <row r="223" spans="2:8" ht="14.25" customHeight="1" x14ac:dyDescent="0.3">
      <c r="C223" s="1"/>
      <c r="F223" s="2"/>
      <c r="G223" s="2"/>
    </row>
    <row r="224" spans="2:8" ht="14.25" customHeight="1" x14ac:dyDescent="0.3">
      <c r="C224" s="1"/>
      <c r="F224" s="2"/>
      <c r="G224" s="2"/>
    </row>
    <row r="225" spans="3:7" ht="14.25" customHeight="1" x14ac:dyDescent="0.3">
      <c r="C225" s="1"/>
      <c r="F225" s="2"/>
      <c r="G225" s="2"/>
    </row>
    <row r="226" spans="3:7" ht="14.25" customHeight="1" x14ac:dyDescent="0.3">
      <c r="C226" s="1"/>
      <c r="F226" s="2"/>
      <c r="G226" s="2"/>
    </row>
    <row r="227" spans="3:7" ht="14.25" customHeight="1" x14ac:dyDescent="0.3">
      <c r="C227" s="1"/>
      <c r="F227" s="2"/>
      <c r="G227" s="2"/>
    </row>
    <row r="228" spans="3:7" ht="14.25" customHeight="1" x14ac:dyDescent="0.3">
      <c r="C228" s="1"/>
      <c r="F228" s="2"/>
      <c r="G228" s="2"/>
    </row>
    <row r="229" spans="3:7" ht="14.25" customHeight="1" x14ac:dyDescent="0.3">
      <c r="C229" s="1"/>
      <c r="F229" s="2"/>
      <c r="G229" s="2"/>
    </row>
    <row r="230" spans="3:7" ht="14.25" customHeight="1" x14ac:dyDescent="0.3">
      <c r="C230" s="1"/>
      <c r="F230" s="2"/>
      <c r="G230" s="2"/>
    </row>
    <row r="231" spans="3:7" ht="14.25" customHeight="1" x14ac:dyDescent="0.3">
      <c r="C231" s="1"/>
      <c r="F231" s="2"/>
      <c r="G231" s="2"/>
    </row>
    <row r="232" spans="3:7" ht="14.25" customHeight="1" x14ac:dyDescent="0.3">
      <c r="C232" s="1"/>
      <c r="F232" s="2"/>
      <c r="G232" s="2"/>
    </row>
    <row r="233" spans="3:7" ht="14.25" customHeight="1" x14ac:dyDescent="0.3">
      <c r="C233" s="1"/>
      <c r="F233" s="2"/>
      <c r="G233" s="2"/>
    </row>
    <row r="234" spans="3:7" ht="14.25" customHeight="1" x14ac:dyDescent="0.3">
      <c r="C234" s="1"/>
      <c r="F234" s="2"/>
      <c r="G234" s="2"/>
    </row>
    <row r="235" spans="3:7" ht="14.25" customHeight="1" x14ac:dyDescent="0.3">
      <c r="C235" s="1"/>
      <c r="F235" s="2"/>
      <c r="G235" s="2"/>
    </row>
    <row r="236" spans="3:7" ht="14.25" customHeight="1" x14ac:dyDescent="0.3">
      <c r="C236" s="1"/>
      <c r="F236" s="2"/>
      <c r="G236" s="2"/>
    </row>
    <row r="237" spans="3:7" ht="14.25" customHeight="1" x14ac:dyDescent="0.3">
      <c r="C237" s="1"/>
      <c r="F237" s="2"/>
      <c r="G237" s="2"/>
    </row>
    <row r="238" spans="3:7" ht="14.25" customHeight="1" x14ac:dyDescent="0.3">
      <c r="C238" s="1"/>
      <c r="F238" s="2"/>
      <c r="G238" s="2"/>
    </row>
    <row r="239" spans="3:7" ht="14.25" customHeight="1" x14ac:dyDescent="0.3">
      <c r="C239" s="1"/>
      <c r="F239" s="2"/>
      <c r="G239" s="2"/>
    </row>
    <row r="240" spans="3:7" ht="14.25" customHeight="1" x14ac:dyDescent="0.3">
      <c r="C240" s="1"/>
      <c r="F240" s="2"/>
      <c r="G240" s="2"/>
    </row>
    <row r="241" spans="3:7" ht="14.25" customHeight="1" x14ac:dyDescent="0.3">
      <c r="C241" s="1"/>
      <c r="F241" s="2"/>
      <c r="G241" s="2"/>
    </row>
    <row r="242" spans="3:7" ht="14.25" customHeight="1" x14ac:dyDescent="0.3">
      <c r="C242" s="1"/>
      <c r="F242" s="2"/>
      <c r="G242" s="2"/>
    </row>
    <row r="243" spans="3:7" ht="14.25" customHeight="1" x14ac:dyDescent="0.3">
      <c r="C243" s="1"/>
      <c r="F243" s="2"/>
      <c r="G243" s="2"/>
    </row>
    <row r="244" spans="3:7" ht="14.25" customHeight="1" x14ac:dyDescent="0.3">
      <c r="C244" s="1"/>
      <c r="F244" s="2"/>
      <c r="G244" s="2"/>
    </row>
    <row r="245" spans="3:7" ht="14.25" customHeight="1" x14ac:dyDescent="0.3">
      <c r="C245" s="1"/>
      <c r="F245" s="2"/>
      <c r="G245" s="2"/>
    </row>
    <row r="246" spans="3:7" ht="14.25" customHeight="1" x14ac:dyDescent="0.3">
      <c r="C246" s="1"/>
      <c r="F246" s="2"/>
      <c r="G246" s="2"/>
    </row>
    <row r="247" spans="3:7" ht="14.25" customHeight="1" x14ac:dyDescent="0.3">
      <c r="C247" s="1"/>
      <c r="F247" s="2"/>
      <c r="G247" s="2"/>
    </row>
    <row r="248" spans="3:7" ht="14.25" customHeight="1" x14ac:dyDescent="0.3">
      <c r="C248" s="1"/>
      <c r="F248" s="2"/>
      <c r="G248" s="2"/>
    </row>
    <row r="249" spans="3:7" ht="14.25" customHeight="1" x14ac:dyDescent="0.3">
      <c r="C249" s="1"/>
      <c r="F249" s="2"/>
      <c r="G249" s="2"/>
    </row>
    <row r="250" spans="3:7" ht="14.25" customHeight="1" x14ac:dyDescent="0.3">
      <c r="C250" s="1"/>
      <c r="F250" s="2"/>
      <c r="G250" s="2"/>
    </row>
    <row r="251" spans="3:7" ht="14.25" customHeight="1" x14ac:dyDescent="0.3">
      <c r="C251" s="1"/>
      <c r="F251" s="2"/>
      <c r="G251" s="2"/>
    </row>
    <row r="252" spans="3:7" ht="14.25" customHeight="1" x14ac:dyDescent="0.3">
      <c r="C252" s="1"/>
      <c r="F252" s="2"/>
      <c r="G252" s="2"/>
    </row>
    <row r="253" spans="3:7" ht="14.25" customHeight="1" x14ac:dyDescent="0.3">
      <c r="C253" s="1"/>
      <c r="F253" s="2"/>
      <c r="G253" s="2"/>
    </row>
    <row r="254" spans="3:7" ht="14.25" customHeight="1" x14ac:dyDescent="0.3">
      <c r="C254" s="1"/>
      <c r="F254" s="2"/>
      <c r="G254" s="2"/>
    </row>
    <row r="255" spans="3:7" ht="14.25" customHeight="1" x14ac:dyDescent="0.3">
      <c r="C255" s="1"/>
      <c r="F255" s="2"/>
      <c r="G255" s="2"/>
    </row>
    <row r="256" spans="3:7" ht="14.25" customHeight="1" x14ac:dyDescent="0.3">
      <c r="C256" s="1"/>
      <c r="F256" s="2"/>
      <c r="G256" s="2"/>
    </row>
    <row r="257" spans="3:7" ht="14.25" customHeight="1" x14ac:dyDescent="0.3">
      <c r="C257" s="1"/>
      <c r="F257" s="2"/>
      <c r="G257" s="2"/>
    </row>
    <row r="258" spans="3:7" ht="14.25" customHeight="1" x14ac:dyDescent="0.3">
      <c r="C258" s="1"/>
      <c r="F258" s="2"/>
      <c r="G258" s="2"/>
    </row>
    <row r="259" spans="3:7" ht="14.25" customHeight="1" x14ac:dyDescent="0.3">
      <c r="C259" s="1"/>
      <c r="F259" s="2"/>
      <c r="G259" s="2"/>
    </row>
    <row r="260" spans="3:7" ht="14.25" customHeight="1" x14ac:dyDescent="0.3">
      <c r="C260" s="1"/>
      <c r="F260" s="2"/>
      <c r="G260" s="2"/>
    </row>
    <row r="261" spans="3:7" ht="14.25" customHeight="1" x14ac:dyDescent="0.3">
      <c r="C261" s="1"/>
      <c r="F261" s="2"/>
      <c r="G261" s="2"/>
    </row>
    <row r="262" spans="3:7" ht="14.25" customHeight="1" x14ac:dyDescent="0.3">
      <c r="C262" s="1"/>
      <c r="F262" s="2"/>
      <c r="G262" s="2"/>
    </row>
    <row r="263" spans="3:7" ht="14.25" customHeight="1" x14ac:dyDescent="0.3">
      <c r="C263" s="1"/>
      <c r="F263" s="2"/>
      <c r="G263" s="2"/>
    </row>
    <row r="264" spans="3:7" ht="14.25" customHeight="1" x14ac:dyDescent="0.3">
      <c r="C264" s="1"/>
      <c r="F264" s="2"/>
      <c r="G264" s="2"/>
    </row>
    <row r="265" spans="3:7" ht="14.25" customHeight="1" x14ac:dyDescent="0.3">
      <c r="C265" s="1"/>
      <c r="F265" s="2"/>
      <c r="G265" s="2"/>
    </row>
    <row r="266" spans="3:7" ht="14.25" customHeight="1" x14ac:dyDescent="0.3">
      <c r="C266" s="1"/>
      <c r="F266" s="2"/>
      <c r="G266" s="2"/>
    </row>
    <row r="267" spans="3:7" ht="14.25" customHeight="1" x14ac:dyDescent="0.3">
      <c r="C267" s="1"/>
      <c r="F267" s="2"/>
      <c r="G267" s="2"/>
    </row>
    <row r="268" spans="3:7" ht="14.25" customHeight="1" x14ac:dyDescent="0.3">
      <c r="C268" s="1"/>
      <c r="F268" s="2"/>
      <c r="G268" s="2"/>
    </row>
    <row r="269" spans="3:7" ht="14.25" customHeight="1" x14ac:dyDescent="0.3">
      <c r="C269" s="1"/>
      <c r="F269" s="2"/>
      <c r="G269" s="2"/>
    </row>
    <row r="270" spans="3:7" ht="14.25" customHeight="1" x14ac:dyDescent="0.3">
      <c r="C270" s="1"/>
      <c r="F270" s="2"/>
      <c r="G270" s="2"/>
    </row>
    <row r="271" spans="3:7" ht="14.25" customHeight="1" x14ac:dyDescent="0.3">
      <c r="C271" s="1"/>
      <c r="F271" s="2"/>
      <c r="G271" s="2"/>
    </row>
    <row r="272" spans="3:7" ht="14.25" customHeight="1" x14ac:dyDescent="0.3">
      <c r="C272" s="1"/>
      <c r="F272" s="2"/>
      <c r="G272" s="2"/>
    </row>
    <row r="273" spans="3:7" ht="14.25" customHeight="1" x14ac:dyDescent="0.3">
      <c r="C273" s="1"/>
      <c r="F273" s="2"/>
      <c r="G273" s="2"/>
    </row>
    <row r="274" spans="3:7" ht="14.25" customHeight="1" x14ac:dyDescent="0.3">
      <c r="C274" s="1"/>
      <c r="F274" s="2"/>
      <c r="G274" s="2"/>
    </row>
    <row r="275" spans="3:7" ht="14.25" customHeight="1" x14ac:dyDescent="0.3">
      <c r="C275" s="1"/>
      <c r="F275" s="2"/>
      <c r="G275" s="2"/>
    </row>
    <row r="276" spans="3:7" ht="14.25" customHeight="1" x14ac:dyDescent="0.3">
      <c r="C276" s="1"/>
      <c r="F276" s="2"/>
      <c r="G276" s="2"/>
    </row>
    <row r="277" spans="3:7" ht="14.25" customHeight="1" x14ac:dyDescent="0.3">
      <c r="C277" s="1"/>
      <c r="F277" s="2"/>
      <c r="G277" s="2"/>
    </row>
    <row r="278" spans="3:7" ht="14.25" customHeight="1" x14ac:dyDescent="0.3">
      <c r="C278" s="1"/>
      <c r="F278" s="2"/>
      <c r="G278" s="2"/>
    </row>
    <row r="279" spans="3:7" ht="14.25" customHeight="1" x14ac:dyDescent="0.3">
      <c r="C279" s="1"/>
      <c r="F279" s="2"/>
      <c r="G279" s="2"/>
    </row>
    <row r="280" spans="3:7" ht="14.25" customHeight="1" x14ac:dyDescent="0.3">
      <c r="C280" s="1"/>
      <c r="F280" s="2"/>
      <c r="G280" s="2"/>
    </row>
    <row r="281" spans="3:7" ht="14.25" customHeight="1" x14ac:dyDescent="0.3">
      <c r="C281" s="1"/>
      <c r="F281" s="2"/>
      <c r="G281" s="2"/>
    </row>
    <row r="282" spans="3:7" ht="14.25" customHeight="1" x14ac:dyDescent="0.3">
      <c r="C282" s="1"/>
      <c r="F282" s="2"/>
      <c r="G282" s="2"/>
    </row>
    <row r="283" spans="3:7" ht="14.25" customHeight="1" x14ac:dyDescent="0.3">
      <c r="C283" s="1"/>
      <c r="F283" s="2"/>
      <c r="G283" s="2"/>
    </row>
    <row r="284" spans="3:7" ht="14.25" customHeight="1" x14ac:dyDescent="0.3">
      <c r="C284" s="1"/>
      <c r="F284" s="2"/>
      <c r="G284" s="2"/>
    </row>
    <row r="285" spans="3:7" ht="14.25" customHeight="1" x14ac:dyDescent="0.3">
      <c r="C285" s="1"/>
      <c r="F285" s="2"/>
      <c r="G285" s="2"/>
    </row>
    <row r="286" spans="3:7" ht="14.25" customHeight="1" x14ac:dyDescent="0.3">
      <c r="C286" s="1"/>
      <c r="F286" s="2"/>
      <c r="G286" s="2"/>
    </row>
    <row r="287" spans="3:7" ht="14.25" customHeight="1" x14ac:dyDescent="0.3">
      <c r="C287" s="1"/>
      <c r="F287" s="2"/>
      <c r="G287" s="2"/>
    </row>
    <row r="288" spans="3:7" ht="14.25" customHeight="1" x14ac:dyDescent="0.3">
      <c r="C288" s="1"/>
      <c r="F288" s="2"/>
      <c r="G288" s="2"/>
    </row>
    <row r="289" spans="3:7" ht="14.25" customHeight="1" x14ac:dyDescent="0.3">
      <c r="C289" s="1"/>
      <c r="F289" s="2"/>
      <c r="G289" s="2"/>
    </row>
    <row r="290" spans="3:7" ht="14.25" customHeight="1" x14ac:dyDescent="0.3">
      <c r="C290" s="1"/>
      <c r="F290" s="2"/>
      <c r="G290" s="2"/>
    </row>
    <row r="291" spans="3:7" ht="14.25" customHeight="1" x14ac:dyDescent="0.3">
      <c r="C291" s="1"/>
      <c r="F291" s="2"/>
      <c r="G291" s="2"/>
    </row>
    <row r="292" spans="3:7" ht="14.25" customHeight="1" x14ac:dyDescent="0.3">
      <c r="C292" s="1"/>
      <c r="F292" s="2"/>
      <c r="G292" s="2"/>
    </row>
    <row r="293" spans="3:7" ht="14.25" customHeight="1" x14ac:dyDescent="0.3">
      <c r="C293" s="1"/>
      <c r="F293" s="2"/>
      <c r="G293" s="2"/>
    </row>
    <row r="294" spans="3:7" ht="14.25" customHeight="1" x14ac:dyDescent="0.3">
      <c r="C294" s="1"/>
      <c r="F294" s="2"/>
      <c r="G294" s="2"/>
    </row>
    <row r="295" spans="3:7" ht="14.25" customHeight="1" x14ac:dyDescent="0.3">
      <c r="C295" s="1"/>
      <c r="F295" s="2"/>
      <c r="G295" s="2"/>
    </row>
    <row r="296" spans="3:7" ht="14.25" customHeight="1" x14ac:dyDescent="0.3">
      <c r="C296" s="1"/>
      <c r="F296" s="2"/>
      <c r="G296" s="2"/>
    </row>
    <row r="297" spans="3:7" ht="14.25" customHeight="1" x14ac:dyDescent="0.3">
      <c r="C297" s="1"/>
      <c r="F297" s="2"/>
      <c r="G297" s="2"/>
    </row>
    <row r="298" spans="3:7" ht="14.25" customHeight="1" x14ac:dyDescent="0.3">
      <c r="C298" s="1"/>
      <c r="F298" s="2"/>
      <c r="G298" s="2"/>
    </row>
    <row r="299" spans="3:7" ht="14.25" customHeight="1" x14ac:dyDescent="0.3">
      <c r="C299" s="1"/>
      <c r="F299" s="2"/>
      <c r="G299" s="2"/>
    </row>
    <row r="300" spans="3:7" ht="14.25" customHeight="1" x14ac:dyDescent="0.3">
      <c r="C300" s="1"/>
      <c r="F300" s="2"/>
      <c r="G300" s="2"/>
    </row>
    <row r="301" spans="3:7" ht="14.25" customHeight="1" x14ac:dyDescent="0.3">
      <c r="C301" s="1"/>
      <c r="F301" s="2"/>
      <c r="G301" s="2"/>
    </row>
    <row r="302" spans="3:7" ht="14.25" customHeight="1" x14ac:dyDescent="0.3">
      <c r="C302" s="1"/>
      <c r="F302" s="2"/>
      <c r="G302" s="2"/>
    </row>
    <row r="303" spans="3:7" ht="14.25" customHeight="1" x14ac:dyDescent="0.3">
      <c r="C303" s="1"/>
      <c r="F303" s="2"/>
      <c r="G303" s="2"/>
    </row>
    <row r="304" spans="3:7" ht="14.25" customHeight="1" x14ac:dyDescent="0.3">
      <c r="C304" s="1"/>
      <c r="F304" s="2"/>
      <c r="G304" s="2"/>
    </row>
    <row r="305" spans="3:7" ht="14.25" customHeight="1" x14ac:dyDescent="0.3">
      <c r="C305" s="1"/>
      <c r="F305" s="2"/>
      <c r="G305" s="2"/>
    </row>
    <row r="306" spans="3:7" ht="14.25" customHeight="1" x14ac:dyDescent="0.3">
      <c r="C306" s="1"/>
      <c r="F306" s="2"/>
      <c r="G306" s="2"/>
    </row>
    <row r="307" spans="3:7" ht="14.25" customHeight="1" x14ac:dyDescent="0.3">
      <c r="C307" s="1"/>
      <c r="F307" s="2"/>
      <c r="G307" s="2"/>
    </row>
    <row r="308" spans="3:7" ht="14.25" customHeight="1" x14ac:dyDescent="0.3">
      <c r="C308" s="1"/>
      <c r="F308" s="2"/>
      <c r="G308" s="2"/>
    </row>
    <row r="309" spans="3:7" ht="14.25" customHeight="1" x14ac:dyDescent="0.3">
      <c r="C309" s="1"/>
      <c r="F309" s="2"/>
      <c r="G309" s="2"/>
    </row>
    <row r="310" spans="3:7" ht="14.25" customHeight="1" x14ac:dyDescent="0.3">
      <c r="C310" s="1"/>
      <c r="F310" s="2"/>
      <c r="G310" s="2"/>
    </row>
    <row r="311" spans="3:7" ht="14.25" customHeight="1" x14ac:dyDescent="0.3">
      <c r="C311" s="1"/>
      <c r="F311" s="2"/>
      <c r="G311" s="2"/>
    </row>
    <row r="312" spans="3:7" ht="14.25" customHeight="1" x14ac:dyDescent="0.3">
      <c r="C312" s="1"/>
      <c r="F312" s="2"/>
      <c r="G312" s="2"/>
    </row>
    <row r="313" spans="3:7" ht="14.25" customHeight="1" x14ac:dyDescent="0.3">
      <c r="C313" s="1"/>
      <c r="F313" s="2"/>
      <c r="G313" s="2"/>
    </row>
    <row r="314" spans="3:7" ht="14.25" customHeight="1" x14ac:dyDescent="0.3">
      <c r="C314" s="1"/>
      <c r="F314" s="2"/>
      <c r="G314" s="2"/>
    </row>
    <row r="315" spans="3:7" ht="14.25" customHeight="1" x14ac:dyDescent="0.3">
      <c r="C315" s="1"/>
      <c r="F315" s="2"/>
      <c r="G315" s="2"/>
    </row>
    <row r="316" spans="3:7" ht="14.25" customHeight="1" x14ac:dyDescent="0.3">
      <c r="C316" s="1"/>
      <c r="F316" s="2"/>
      <c r="G316" s="2"/>
    </row>
    <row r="317" spans="3:7" ht="14.25" customHeight="1" x14ac:dyDescent="0.3">
      <c r="C317" s="1"/>
      <c r="F317" s="2"/>
      <c r="G317" s="2"/>
    </row>
    <row r="318" spans="3:7" ht="14.25" customHeight="1" x14ac:dyDescent="0.3">
      <c r="C318" s="1"/>
      <c r="F318" s="2"/>
      <c r="G318" s="2"/>
    </row>
    <row r="319" spans="3:7" ht="14.25" customHeight="1" x14ac:dyDescent="0.3">
      <c r="C319" s="1"/>
      <c r="F319" s="2"/>
      <c r="G319" s="2"/>
    </row>
    <row r="320" spans="3:7" ht="14.25" customHeight="1" x14ac:dyDescent="0.3">
      <c r="C320" s="1"/>
      <c r="F320" s="2"/>
      <c r="G320" s="2"/>
    </row>
    <row r="321" spans="3:7" ht="14.25" customHeight="1" x14ac:dyDescent="0.3">
      <c r="C321" s="1"/>
      <c r="F321" s="2"/>
      <c r="G321" s="2"/>
    </row>
    <row r="322" spans="3:7" ht="14.25" customHeight="1" x14ac:dyDescent="0.3">
      <c r="C322" s="1"/>
      <c r="F322" s="2"/>
      <c r="G322" s="2"/>
    </row>
    <row r="323" spans="3:7" ht="14.25" customHeight="1" x14ac:dyDescent="0.3">
      <c r="C323" s="1"/>
      <c r="F323" s="2"/>
      <c r="G323" s="2"/>
    </row>
    <row r="324" spans="3:7" ht="14.25" customHeight="1" x14ac:dyDescent="0.3">
      <c r="C324" s="1"/>
      <c r="F324" s="2"/>
      <c r="G324" s="2"/>
    </row>
    <row r="325" spans="3:7" ht="14.25" customHeight="1" x14ac:dyDescent="0.3">
      <c r="C325" s="1"/>
      <c r="F325" s="2"/>
      <c r="G325" s="2"/>
    </row>
    <row r="326" spans="3:7" ht="14.25" customHeight="1" x14ac:dyDescent="0.3">
      <c r="C326" s="1"/>
      <c r="F326" s="2"/>
      <c r="G326" s="2"/>
    </row>
    <row r="327" spans="3:7" ht="14.25" customHeight="1" x14ac:dyDescent="0.3">
      <c r="C327" s="1"/>
      <c r="F327" s="2"/>
      <c r="G327" s="2"/>
    </row>
    <row r="328" spans="3:7" ht="14.25" customHeight="1" x14ac:dyDescent="0.3">
      <c r="C328" s="1"/>
      <c r="F328" s="2"/>
      <c r="G328" s="2"/>
    </row>
    <row r="329" spans="3:7" ht="14.25" customHeight="1" x14ac:dyDescent="0.3">
      <c r="C329" s="1"/>
      <c r="F329" s="2"/>
      <c r="G329" s="2"/>
    </row>
    <row r="330" spans="3:7" ht="14.25" customHeight="1" x14ac:dyDescent="0.3">
      <c r="C330" s="1"/>
      <c r="F330" s="2"/>
      <c r="G330" s="2"/>
    </row>
    <row r="331" spans="3:7" ht="14.25" customHeight="1" x14ac:dyDescent="0.3">
      <c r="C331" s="1"/>
      <c r="F331" s="2"/>
      <c r="G331" s="2"/>
    </row>
    <row r="332" spans="3:7" ht="14.25" customHeight="1" x14ac:dyDescent="0.3">
      <c r="C332" s="1"/>
      <c r="F332" s="2"/>
      <c r="G332" s="2"/>
    </row>
    <row r="333" spans="3:7" ht="14.25" customHeight="1" x14ac:dyDescent="0.3">
      <c r="C333" s="1"/>
      <c r="F333" s="2"/>
      <c r="G333" s="2"/>
    </row>
    <row r="334" spans="3:7" ht="14.25" customHeight="1" x14ac:dyDescent="0.3">
      <c r="C334" s="1"/>
      <c r="F334" s="2"/>
      <c r="G334" s="2"/>
    </row>
    <row r="335" spans="3:7" ht="14.25" customHeight="1" x14ac:dyDescent="0.3">
      <c r="C335" s="1"/>
      <c r="F335" s="2"/>
      <c r="G335" s="2"/>
    </row>
    <row r="336" spans="3:7" ht="14.25" customHeight="1" x14ac:dyDescent="0.3">
      <c r="C336" s="1"/>
      <c r="F336" s="2"/>
      <c r="G336" s="2"/>
    </row>
    <row r="337" spans="3:7" ht="14.25" customHeight="1" x14ac:dyDescent="0.3">
      <c r="C337" s="1"/>
      <c r="F337" s="2"/>
      <c r="G337" s="2"/>
    </row>
    <row r="338" spans="3:7" ht="14.25" customHeight="1" x14ac:dyDescent="0.3">
      <c r="C338" s="1"/>
      <c r="F338" s="2"/>
      <c r="G338" s="2"/>
    </row>
    <row r="339" spans="3:7" ht="14.25" customHeight="1" x14ac:dyDescent="0.3">
      <c r="C339" s="1"/>
      <c r="F339" s="2"/>
      <c r="G339" s="2"/>
    </row>
    <row r="340" spans="3:7" ht="14.25" customHeight="1" x14ac:dyDescent="0.3">
      <c r="C340" s="1"/>
      <c r="F340" s="2"/>
      <c r="G340" s="2"/>
    </row>
    <row r="341" spans="3:7" ht="14.25" customHeight="1" x14ac:dyDescent="0.3">
      <c r="C341" s="1"/>
      <c r="F341" s="2"/>
      <c r="G341" s="2"/>
    </row>
    <row r="342" spans="3:7" ht="14.25" customHeight="1" x14ac:dyDescent="0.3">
      <c r="C342" s="1"/>
      <c r="F342" s="2"/>
      <c r="G342" s="2"/>
    </row>
    <row r="343" spans="3:7" ht="14.25" customHeight="1" x14ac:dyDescent="0.3">
      <c r="C343" s="1"/>
      <c r="F343" s="2"/>
      <c r="G343" s="2"/>
    </row>
    <row r="344" spans="3:7" ht="14.25" customHeight="1" x14ac:dyDescent="0.3">
      <c r="C344" s="1"/>
      <c r="F344" s="2"/>
      <c r="G344" s="2"/>
    </row>
    <row r="345" spans="3:7" ht="14.25" customHeight="1" x14ac:dyDescent="0.3">
      <c r="C345" s="1"/>
      <c r="F345" s="2"/>
      <c r="G345" s="2"/>
    </row>
    <row r="346" spans="3:7" ht="14.25" customHeight="1" x14ac:dyDescent="0.3">
      <c r="C346" s="1"/>
      <c r="F346" s="2"/>
      <c r="G346" s="2"/>
    </row>
    <row r="347" spans="3:7" ht="14.25" customHeight="1" x14ac:dyDescent="0.3">
      <c r="C347" s="1"/>
      <c r="F347" s="2"/>
      <c r="G347" s="2"/>
    </row>
    <row r="348" spans="3:7" ht="14.25" customHeight="1" x14ac:dyDescent="0.3">
      <c r="C348" s="1"/>
      <c r="F348" s="2"/>
      <c r="G348" s="2"/>
    </row>
    <row r="349" spans="3:7" ht="14.25" customHeight="1" x14ac:dyDescent="0.3">
      <c r="C349" s="1"/>
      <c r="F349" s="2"/>
      <c r="G349" s="2"/>
    </row>
    <row r="350" spans="3:7" ht="14.25" customHeight="1" x14ac:dyDescent="0.3">
      <c r="C350" s="1"/>
      <c r="F350" s="2"/>
      <c r="G350" s="2"/>
    </row>
    <row r="351" spans="3:7" ht="14.25" customHeight="1" x14ac:dyDescent="0.3">
      <c r="C351" s="1"/>
      <c r="F351" s="2"/>
      <c r="G351" s="2"/>
    </row>
    <row r="352" spans="3:7" ht="14.25" customHeight="1" x14ac:dyDescent="0.3">
      <c r="C352" s="1"/>
      <c r="F352" s="2"/>
      <c r="G352" s="2"/>
    </row>
    <row r="353" spans="3:7" ht="14.25" customHeight="1" x14ac:dyDescent="0.3">
      <c r="C353" s="1"/>
      <c r="F353" s="2"/>
      <c r="G353" s="2"/>
    </row>
    <row r="354" spans="3:7" ht="14.25" customHeight="1" x14ac:dyDescent="0.3">
      <c r="C354" s="1"/>
      <c r="F354" s="2"/>
      <c r="G354" s="2"/>
    </row>
    <row r="355" spans="3:7" ht="14.25" customHeight="1" x14ac:dyDescent="0.3">
      <c r="C355" s="1"/>
      <c r="F355" s="2"/>
      <c r="G355" s="2"/>
    </row>
    <row r="356" spans="3:7" ht="14.25" customHeight="1" x14ac:dyDescent="0.3">
      <c r="C356" s="1"/>
      <c r="F356" s="2"/>
      <c r="G356" s="2"/>
    </row>
    <row r="357" spans="3:7" ht="14.25" customHeight="1" x14ac:dyDescent="0.3">
      <c r="C357" s="1"/>
      <c r="F357" s="2"/>
      <c r="G357" s="2"/>
    </row>
    <row r="358" spans="3:7" ht="14.25" customHeight="1" x14ac:dyDescent="0.3">
      <c r="C358" s="1"/>
      <c r="F358" s="2"/>
      <c r="G358" s="2"/>
    </row>
    <row r="359" spans="3:7" ht="14.25" customHeight="1" x14ac:dyDescent="0.3">
      <c r="C359" s="1"/>
      <c r="F359" s="2"/>
      <c r="G359" s="2"/>
    </row>
    <row r="360" spans="3:7" ht="14.25" customHeight="1" x14ac:dyDescent="0.3">
      <c r="C360" s="1"/>
      <c r="F360" s="2"/>
      <c r="G360" s="2"/>
    </row>
    <row r="361" spans="3:7" ht="14.25" customHeight="1" x14ac:dyDescent="0.3">
      <c r="C361" s="1"/>
      <c r="F361" s="2"/>
      <c r="G361" s="2"/>
    </row>
    <row r="362" spans="3:7" ht="14.25" customHeight="1" x14ac:dyDescent="0.3">
      <c r="C362" s="1"/>
      <c r="F362" s="2"/>
      <c r="G362" s="2"/>
    </row>
    <row r="363" spans="3:7" ht="14.25" customHeight="1" x14ac:dyDescent="0.3">
      <c r="C363" s="1"/>
      <c r="F363" s="2"/>
      <c r="G363" s="2"/>
    </row>
    <row r="364" spans="3:7" ht="14.25" customHeight="1" x14ac:dyDescent="0.3">
      <c r="C364" s="1"/>
      <c r="F364" s="2"/>
      <c r="G364" s="2"/>
    </row>
    <row r="365" spans="3:7" ht="14.25" customHeight="1" x14ac:dyDescent="0.3">
      <c r="C365" s="1"/>
      <c r="F365" s="2"/>
      <c r="G365" s="2"/>
    </row>
    <row r="366" spans="3:7" ht="14.25" customHeight="1" x14ac:dyDescent="0.3">
      <c r="C366" s="1"/>
      <c r="F366" s="2"/>
      <c r="G366" s="2"/>
    </row>
    <row r="367" spans="3:7" ht="14.25" customHeight="1" x14ac:dyDescent="0.3">
      <c r="C367" s="1"/>
      <c r="F367" s="2"/>
      <c r="G367" s="2"/>
    </row>
    <row r="368" spans="3:7" ht="14.25" customHeight="1" x14ac:dyDescent="0.3">
      <c r="C368" s="1"/>
      <c r="F368" s="2"/>
      <c r="G368" s="2"/>
    </row>
    <row r="369" spans="3:7" ht="14.25" customHeight="1" x14ac:dyDescent="0.3">
      <c r="C369" s="1"/>
      <c r="F369" s="2"/>
      <c r="G369" s="2"/>
    </row>
    <row r="370" spans="3:7" ht="14.25" customHeight="1" x14ac:dyDescent="0.3">
      <c r="C370" s="1"/>
      <c r="F370" s="2"/>
      <c r="G370" s="2"/>
    </row>
    <row r="371" spans="3:7" ht="14.25" customHeight="1" x14ac:dyDescent="0.3">
      <c r="C371" s="1"/>
      <c r="F371" s="2"/>
      <c r="G371" s="2"/>
    </row>
    <row r="372" spans="3:7" ht="14.25" customHeight="1" x14ac:dyDescent="0.3">
      <c r="C372" s="1"/>
      <c r="F372" s="2"/>
      <c r="G372" s="2"/>
    </row>
    <row r="373" spans="3:7" ht="14.25" customHeight="1" x14ac:dyDescent="0.3">
      <c r="C373" s="1"/>
      <c r="F373" s="2"/>
      <c r="G373" s="2"/>
    </row>
    <row r="374" spans="3:7" ht="14.25" customHeight="1" x14ac:dyDescent="0.3">
      <c r="C374" s="1"/>
      <c r="F374" s="2"/>
      <c r="G374" s="2"/>
    </row>
    <row r="375" spans="3:7" ht="14.25" customHeight="1" x14ac:dyDescent="0.3">
      <c r="C375" s="1"/>
      <c r="F375" s="2"/>
      <c r="G375" s="2"/>
    </row>
    <row r="376" spans="3:7" ht="14.25" customHeight="1" x14ac:dyDescent="0.3">
      <c r="C376" s="1"/>
      <c r="F376" s="2"/>
      <c r="G376" s="2"/>
    </row>
    <row r="377" spans="3:7" ht="14.25" customHeight="1" x14ac:dyDescent="0.3">
      <c r="C377" s="1"/>
      <c r="F377" s="2"/>
      <c r="G377" s="2"/>
    </row>
    <row r="378" spans="3:7" ht="14.25" customHeight="1" x14ac:dyDescent="0.3">
      <c r="C378" s="1"/>
      <c r="F378" s="2"/>
      <c r="G378" s="2"/>
    </row>
    <row r="379" spans="3:7" ht="14.25" customHeight="1" x14ac:dyDescent="0.3">
      <c r="C379" s="1"/>
      <c r="F379" s="2"/>
      <c r="G379" s="2"/>
    </row>
    <row r="380" spans="3:7" ht="14.25" customHeight="1" x14ac:dyDescent="0.3">
      <c r="C380" s="1"/>
      <c r="F380" s="2"/>
      <c r="G380" s="2"/>
    </row>
    <row r="381" spans="3:7" ht="14.25" customHeight="1" x14ac:dyDescent="0.3">
      <c r="C381" s="1"/>
      <c r="F381" s="2"/>
      <c r="G381" s="2"/>
    </row>
    <row r="382" spans="3:7" ht="14.25" customHeight="1" x14ac:dyDescent="0.3">
      <c r="C382" s="1"/>
      <c r="F382" s="2"/>
      <c r="G382" s="2"/>
    </row>
    <row r="383" spans="3:7" ht="14.25" customHeight="1" x14ac:dyDescent="0.3">
      <c r="C383" s="1"/>
      <c r="F383" s="2"/>
      <c r="G383" s="2"/>
    </row>
    <row r="384" spans="3:7" ht="14.25" customHeight="1" x14ac:dyDescent="0.3">
      <c r="C384" s="1"/>
      <c r="F384" s="2"/>
      <c r="G384" s="2"/>
    </row>
    <row r="385" spans="3:7" ht="14.25" customHeight="1" x14ac:dyDescent="0.3">
      <c r="C385" s="1"/>
      <c r="F385" s="2"/>
      <c r="G385" s="2"/>
    </row>
    <row r="386" spans="3:7" ht="14.25" customHeight="1" x14ac:dyDescent="0.3">
      <c r="C386" s="1"/>
      <c r="F386" s="2"/>
      <c r="G386" s="2"/>
    </row>
    <row r="387" spans="3:7" ht="14.25" customHeight="1" x14ac:dyDescent="0.3">
      <c r="C387" s="1"/>
      <c r="F387" s="2"/>
      <c r="G387" s="2"/>
    </row>
    <row r="388" spans="3:7" ht="14.25" customHeight="1" x14ac:dyDescent="0.3">
      <c r="C388" s="1"/>
      <c r="F388" s="2"/>
      <c r="G388" s="2"/>
    </row>
    <row r="389" spans="3:7" ht="14.25" customHeight="1" x14ac:dyDescent="0.3">
      <c r="C389" s="1"/>
      <c r="F389" s="2"/>
      <c r="G389" s="2"/>
    </row>
    <row r="390" spans="3:7" ht="14.25" customHeight="1" x14ac:dyDescent="0.3">
      <c r="C390" s="1"/>
      <c r="F390" s="2"/>
      <c r="G390" s="2"/>
    </row>
    <row r="391" spans="3:7" ht="14.25" customHeight="1" x14ac:dyDescent="0.3">
      <c r="C391" s="1"/>
      <c r="F391" s="2"/>
      <c r="G391" s="2"/>
    </row>
    <row r="392" spans="3:7" ht="14.25" customHeight="1" x14ac:dyDescent="0.3">
      <c r="C392" s="1"/>
      <c r="F392" s="2"/>
      <c r="G392" s="2"/>
    </row>
    <row r="393" spans="3:7" ht="14.25" customHeight="1" x14ac:dyDescent="0.3">
      <c r="C393" s="1"/>
      <c r="F393" s="2"/>
      <c r="G393" s="2"/>
    </row>
    <row r="394" spans="3:7" ht="14.25" customHeight="1" x14ac:dyDescent="0.3">
      <c r="C394" s="1"/>
      <c r="F394" s="2"/>
      <c r="G394" s="2"/>
    </row>
    <row r="395" spans="3:7" ht="14.25" customHeight="1" x14ac:dyDescent="0.3">
      <c r="C395" s="1"/>
      <c r="F395" s="2"/>
      <c r="G395" s="2"/>
    </row>
    <row r="396" spans="3:7" ht="14.25" customHeight="1" x14ac:dyDescent="0.3">
      <c r="C396" s="1"/>
      <c r="F396" s="2"/>
      <c r="G396" s="2"/>
    </row>
    <row r="397" spans="3:7" ht="14.25" customHeight="1" x14ac:dyDescent="0.3">
      <c r="C397" s="1"/>
      <c r="F397" s="2"/>
      <c r="G397" s="2"/>
    </row>
    <row r="398" spans="3:7" ht="14.25" customHeight="1" x14ac:dyDescent="0.3">
      <c r="C398" s="1"/>
      <c r="F398" s="2"/>
      <c r="G398" s="2"/>
    </row>
    <row r="399" spans="3:7" ht="14.25" customHeight="1" x14ac:dyDescent="0.3">
      <c r="C399" s="1"/>
      <c r="F399" s="2"/>
      <c r="G399" s="2"/>
    </row>
    <row r="400" spans="3:7" ht="14.25" customHeight="1" x14ac:dyDescent="0.3">
      <c r="C400" s="1"/>
      <c r="F400" s="2"/>
      <c r="G400" s="2"/>
    </row>
    <row r="401" spans="3:7" ht="14.25" customHeight="1" x14ac:dyDescent="0.3">
      <c r="C401" s="1"/>
      <c r="F401" s="2"/>
      <c r="G401" s="2"/>
    </row>
    <row r="402" spans="3:7" ht="14.25" customHeight="1" x14ac:dyDescent="0.3">
      <c r="C402" s="1"/>
      <c r="F402" s="2"/>
      <c r="G402" s="2"/>
    </row>
    <row r="403" spans="3:7" ht="14.25" customHeight="1" x14ac:dyDescent="0.3">
      <c r="C403" s="1"/>
      <c r="F403" s="2"/>
      <c r="G403" s="2"/>
    </row>
    <row r="404" spans="3:7" ht="14.25" customHeight="1" x14ac:dyDescent="0.3">
      <c r="C404" s="1"/>
      <c r="F404" s="2"/>
      <c r="G404" s="2"/>
    </row>
    <row r="405" spans="3:7" ht="14.25" customHeight="1" x14ac:dyDescent="0.3">
      <c r="C405" s="1"/>
      <c r="F405" s="2"/>
      <c r="G405" s="2"/>
    </row>
    <row r="406" spans="3:7" ht="14.25" customHeight="1" x14ac:dyDescent="0.3">
      <c r="C406" s="1"/>
      <c r="F406" s="2"/>
      <c r="G406" s="2"/>
    </row>
    <row r="407" spans="3:7" ht="14.25" customHeight="1" x14ac:dyDescent="0.3">
      <c r="C407" s="1"/>
      <c r="F407" s="2"/>
      <c r="G407" s="2"/>
    </row>
    <row r="408" spans="3:7" ht="14.25" customHeight="1" x14ac:dyDescent="0.3">
      <c r="C408" s="1"/>
      <c r="F408" s="2"/>
      <c r="G408" s="2"/>
    </row>
    <row r="409" spans="3:7" ht="14.25" customHeight="1" x14ac:dyDescent="0.3">
      <c r="C409" s="1"/>
      <c r="F409" s="2"/>
      <c r="G409" s="2"/>
    </row>
    <row r="410" spans="3:7" ht="14.25" customHeight="1" x14ac:dyDescent="0.3">
      <c r="C410" s="1"/>
      <c r="F410" s="2"/>
      <c r="G410" s="2"/>
    </row>
    <row r="411" spans="3:7" ht="14.25" customHeight="1" x14ac:dyDescent="0.3">
      <c r="C411" s="1"/>
      <c r="F411" s="2"/>
      <c r="G411" s="2"/>
    </row>
    <row r="412" spans="3:7" ht="14.25" customHeight="1" x14ac:dyDescent="0.3">
      <c r="C412" s="1"/>
      <c r="F412" s="2"/>
      <c r="G412" s="2"/>
    </row>
    <row r="413" spans="3:7" ht="14.25" customHeight="1" x14ac:dyDescent="0.3">
      <c r="C413" s="1"/>
      <c r="F413" s="2"/>
      <c r="G413" s="2"/>
    </row>
    <row r="414" spans="3:7" ht="14.25" customHeight="1" x14ac:dyDescent="0.3">
      <c r="C414" s="1"/>
      <c r="F414" s="2"/>
      <c r="G414" s="2"/>
    </row>
    <row r="415" spans="3:7" ht="14.25" customHeight="1" x14ac:dyDescent="0.3">
      <c r="C415" s="1"/>
      <c r="F415" s="2"/>
      <c r="G415" s="2"/>
    </row>
    <row r="416" spans="3:7" ht="14.25" customHeight="1" x14ac:dyDescent="0.3">
      <c r="C416" s="1"/>
      <c r="F416" s="2"/>
      <c r="G416" s="2"/>
    </row>
    <row r="417" spans="3:7" ht="14.25" customHeight="1" x14ac:dyDescent="0.3">
      <c r="C417" s="1"/>
      <c r="F417" s="2"/>
      <c r="G417" s="2"/>
    </row>
    <row r="418" spans="3:7" ht="14.25" customHeight="1" x14ac:dyDescent="0.3">
      <c r="C418" s="1"/>
      <c r="F418" s="2"/>
      <c r="G418" s="2"/>
    </row>
    <row r="419" spans="3:7" ht="14.25" customHeight="1" x14ac:dyDescent="0.3">
      <c r="C419" s="1"/>
      <c r="F419" s="2"/>
      <c r="G419" s="2"/>
    </row>
    <row r="420" spans="3:7" ht="14.25" customHeight="1" x14ac:dyDescent="0.3">
      <c r="C420" s="1"/>
      <c r="F420" s="2"/>
      <c r="G420" s="2"/>
    </row>
    <row r="421" spans="3:7" ht="14.25" customHeight="1" x14ac:dyDescent="0.3">
      <c r="C421" s="1"/>
      <c r="F421" s="2"/>
      <c r="G421" s="2"/>
    </row>
    <row r="422" spans="3:7" ht="14.25" customHeight="1" x14ac:dyDescent="0.3">
      <c r="C422" s="1"/>
      <c r="F422" s="2"/>
      <c r="G422" s="2"/>
    </row>
    <row r="423" spans="3:7" ht="14.25" customHeight="1" x14ac:dyDescent="0.3">
      <c r="C423" s="1"/>
      <c r="F423" s="2"/>
      <c r="G423" s="2"/>
    </row>
    <row r="424" spans="3:7" ht="14.25" customHeight="1" x14ac:dyDescent="0.3">
      <c r="C424" s="1"/>
      <c r="F424" s="2"/>
      <c r="G424" s="2"/>
    </row>
    <row r="425" spans="3:7" ht="14.25" customHeight="1" x14ac:dyDescent="0.3">
      <c r="C425" s="1"/>
      <c r="F425" s="2"/>
      <c r="G425" s="2"/>
    </row>
    <row r="426" spans="3:7" ht="14.25" customHeight="1" x14ac:dyDescent="0.3">
      <c r="C426" s="1"/>
      <c r="F426" s="2"/>
      <c r="G426" s="2"/>
    </row>
    <row r="427" spans="3:7" ht="14.25" customHeight="1" x14ac:dyDescent="0.3">
      <c r="C427" s="1"/>
      <c r="F427" s="2"/>
      <c r="G427" s="2"/>
    </row>
    <row r="428" spans="3:7" ht="14.25" customHeight="1" x14ac:dyDescent="0.3">
      <c r="C428" s="1"/>
      <c r="F428" s="2"/>
      <c r="G428" s="2"/>
    </row>
    <row r="429" spans="3:7" ht="14.25" customHeight="1" x14ac:dyDescent="0.3">
      <c r="C429" s="1"/>
      <c r="F429" s="2"/>
      <c r="G429" s="2"/>
    </row>
    <row r="430" spans="3:7" ht="14.25" customHeight="1" x14ac:dyDescent="0.3">
      <c r="C430" s="1"/>
      <c r="F430" s="2"/>
      <c r="G430" s="2"/>
    </row>
    <row r="431" spans="3:7" ht="14.25" customHeight="1" x14ac:dyDescent="0.3">
      <c r="C431" s="1"/>
      <c r="F431" s="2"/>
      <c r="G431" s="2"/>
    </row>
    <row r="432" spans="3:7" ht="14.25" customHeight="1" x14ac:dyDescent="0.3">
      <c r="C432" s="1"/>
      <c r="F432" s="2"/>
      <c r="G432" s="2"/>
    </row>
    <row r="433" spans="3:7" ht="14.25" customHeight="1" x14ac:dyDescent="0.3">
      <c r="C433" s="1"/>
      <c r="F433" s="2"/>
      <c r="G433" s="2"/>
    </row>
    <row r="434" spans="3:7" ht="14.25" customHeight="1" x14ac:dyDescent="0.3">
      <c r="C434" s="1"/>
      <c r="F434" s="2"/>
      <c r="G434" s="2"/>
    </row>
    <row r="435" spans="3:7" ht="14.25" customHeight="1" x14ac:dyDescent="0.3">
      <c r="C435" s="1"/>
      <c r="F435" s="2"/>
      <c r="G435" s="2"/>
    </row>
    <row r="436" spans="3:7" ht="14.25" customHeight="1" x14ac:dyDescent="0.3">
      <c r="C436" s="1"/>
      <c r="F436" s="2"/>
      <c r="G436" s="2"/>
    </row>
    <row r="437" spans="3:7" ht="14.25" customHeight="1" x14ac:dyDescent="0.3">
      <c r="C437" s="1"/>
      <c r="F437" s="2"/>
      <c r="G437" s="2"/>
    </row>
    <row r="438" spans="3:7" ht="14.25" customHeight="1" x14ac:dyDescent="0.3">
      <c r="C438" s="1"/>
      <c r="F438" s="2"/>
      <c r="G438" s="2"/>
    </row>
    <row r="439" spans="3:7" ht="14.25" customHeight="1" x14ac:dyDescent="0.3">
      <c r="C439" s="1"/>
      <c r="F439" s="2"/>
      <c r="G439" s="2"/>
    </row>
    <row r="440" spans="3:7" ht="14.25" customHeight="1" x14ac:dyDescent="0.3">
      <c r="C440" s="1"/>
      <c r="F440" s="2"/>
      <c r="G440" s="2"/>
    </row>
    <row r="441" spans="3:7" ht="14.25" customHeight="1" x14ac:dyDescent="0.3">
      <c r="C441" s="1"/>
      <c r="F441" s="2"/>
      <c r="G441" s="2"/>
    </row>
    <row r="442" spans="3:7" ht="14.25" customHeight="1" x14ac:dyDescent="0.3">
      <c r="C442" s="1"/>
      <c r="F442" s="2"/>
      <c r="G442" s="2"/>
    </row>
    <row r="443" spans="3:7" ht="14.25" customHeight="1" x14ac:dyDescent="0.3">
      <c r="C443" s="1"/>
      <c r="F443" s="2"/>
      <c r="G443" s="2"/>
    </row>
    <row r="444" spans="3:7" ht="14.25" customHeight="1" x14ac:dyDescent="0.3">
      <c r="C444" s="1"/>
      <c r="F444" s="2"/>
      <c r="G444" s="2"/>
    </row>
    <row r="445" spans="3:7" ht="14.25" customHeight="1" x14ac:dyDescent="0.3">
      <c r="C445" s="1"/>
      <c r="F445" s="2"/>
      <c r="G445" s="2"/>
    </row>
    <row r="446" spans="3:7" ht="14.25" customHeight="1" x14ac:dyDescent="0.3">
      <c r="C446" s="1"/>
      <c r="F446" s="2"/>
      <c r="G446" s="2"/>
    </row>
    <row r="447" spans="3:7" ht="14.25" customHeight="1" x14ac:dyDescent="0.3">
      <c r="C447" s="1"/>
      <c r="F447" s="2"/>
      <c r="G447" s="2"/>
    </row>
    <row r="448" spans="3:7" ht="14.25" customHeight="1" x14ac:dyDescent="0.3">
      <c r="C448" s="1"/>
      <c r="F448" s="2"/>
      <c r="G448" s="2"/>
    </row>
    <row r="449" spans="3:7" ht="14.25" customHeight="1" x14ac:dyDescent="0.3">
      <c r="C449" s="1"/>
      <c r="F449" s="2"/>
      <c r="G449" s="2"/>
    </row>
    <row r="450" spans="3:7" ht="14.25" customHeight="1" x14ac:dyDescent="0.3">
      <c r="C450" s="1"/>
      <c r="F450" s="2"/>
      <c r="G450" s="2"/>
    </row>
    <row r="451" spans="3:7" ht="14.25" customHeight="1" x14ac:dyDescent="0.3">
      <c r="C451" s="1"/>
      <c r="F451" s="2"/>
      <c r="G451" s="2"/>
    </row>
    <row r="452" spans="3:7" ht="14.25" customHeight="1" x14ac:dyDescent="0.3">
      <c r="C452" s="1"/>
      <c r="F452" s="2"/>
      <c r="G452" s="2"/>
    </row>
    <row r="453" spans="3:7" ht="14.25" customHeight="1" x14ac:dyDescent="0.3">
      <c r="C453" s="1"/>
      <c r="F453" s="2"/>
      <c r="G453" s="2"/>
    </row>
    <row r="454" spans="3:7" ht="14.25" customHeight="1" x14ac:dyDescent="0.3">
      <c r="C454" s="1"/>
      <c r="F454" s="2"/>
      <c r="G454" s="2"/>
    </row>
    <row r="455" spans="3:7" ht="14.25" customHeight="1" x14ac:dyDescent="0.3">
      <c r="C455" s="1"/>
      <c r="F455" s="2"/>
      <c r="G455" s="2"/>
    </row>
    <row r="456" spans="3:7" ht="14.25" customHeight="1" x14ac:dyDescent="0.3">
      <c r="C456" s="1"/>
      <c r="F456" s="2"/>
      <c r="G456" s="2"/>
    </row>
    <row r="457" spans="3:7" ht="14.25" customHeight="1" x14ac:dyDescent="0.3">
      <c r="C457" s="1"/>
      <c r="F457" s="2"/>
      <c r="G457" s="2"/>
    </row>
    <row r="458" spans="3:7" ht="14.25" customHeight="1" x14ac:dyDescent="0.3">
      <c r="C458" s="1"/>
      <c r="F458" s="2"/>
      <c r="G458" s="2"/>
    </row>
    <row r="459" spans="3:7" ht="14.25" customHeight="1" x14ac:dyDescent="0.3">
      <c r="C459" s="1"/>
      <c r="F459" s="2"/>
      <c r="G459" s="2"/>
    </row>
    <row r="460" spans="3:7" ht="14.25" customHeight="1" x14ac:dyDescent="0.3">
      <c r="C460" s="1"/>
      <c r="F460" s="2"/>
      <c r="G460" s="2"/>
    </row>
    <row r="461" spans="3:7" ht="14.25" customHeight="1" x14ac:dyDescent="0.3">
      <c r="C461" s="1"/>
      <c r="F461" s="2"/>
      <c r="G461" s="2"/>
    </row>
    <row r="462" spans="3:7" ht="14.25" customHeight="1" x14ac:dyDescent="0.3">
      <c r="C462" s="1"/>
      <c r="F462" s="2"/>
      <c r="G462" s="2"/>
    </row>
    <row r="463" spans="3:7" ht="14.25" customHeight="1" x14ac:dyDescent="0.3">
      <c r="C463" s="1"/>
      <c r="F463" s="2"/>
      <c r="G463" s="2"/>
    </row>
    <row r="464" spans="3:7" ht="14.25" customHeight="1" x14ac:dyDescent="0.3">
      <c r="C464" s="1"/>
      <c r="F464" s="2"/>
      <c r="G464" s="2"/>
    </row>
    <row r="465" spans="3:7" ht="14.25" customHeight="1" x14ac:dyDescent="0.3">
      <c r="C465" s="1"/>
      <c r="F465" s="2"/>
      <c r="G465" s="2"/>
    </row>
    <row r="466" spans="3:7" ht="14.25" customHeight="1" x14ac:dyDescent="0.3">
      <c r="C466" s="1"/>
      <c r="F466" s="2"/>
      <c r="G466" s="2"/>
    </row>
    <row r="467" spans="3:7" ht="14.25" customHeight="1" x14ac:dyDescent="0.3">
      <c r="C467" s="1"/>
      <c r="F467" s="2"/>
      <c r="G467" s="2"/>
    </row>
    <row r="468" spans="3:7" ht="14.25" customHeight="1" x14ac:dyDescent="0.3">
      <c r="C468" s="1"/>
      <c r="F468" s="2"/>
      <c r="G468" s="2"/>
    </row>
    <row r="469" spans="3:7" ht="14.25" customHeight="1" x14ac:dyDescent="0.3">
      <c r="C469" s="1"/>
      <c r="F469" s="2"/>
      <c r="G469" s="2"/>
    </row>
    <row r="470" spans="3:7" ht="14.25" customHeight="1" x14ac:dyDescent="0.3">
      <c r="C470" s="1"/>
      <c r="F470" s="2"/>
      <c r="G470" s="2"/>
    </row>
    <row r="471" spans="3:7" ht="14.25" customHeight="1" x14ac:dyDescent="0.3">
      <c r="C471" s="1"/>
      <c r="F471" s="2"/>
      <c r="G471" s="2"/>
    </row>
    <row r="472" spans="3:7" ht="14.25" customHeight="1" x14ac:dyDescent="0.3">
      <c r="C472" s="1"/>
      <c r="F472" s="2"/>
      <c r="G472" s="2"/>
    </row>
    <row r="473" spans="3:7" ht="14.25" customHeight="1" x14ac:dyDescent="0.3">
      <c r="C473" s="1"/>
      <c r="F473" s="2"/>
      <c r="G473" s="2"/>
    </row>
    <row r="474" spans="3:7" ht="14.25" customHeight="1" x14ac:dyDescent="0.3">
      <c r="C474" s="1"/>
      <c r="F474" s="2"/>
      <c r="G474" s="2"/>
    </row>
    <row r="475" spans="3:7" ht="14.25" customHeight="1" x14ac:dyDescent="0.3">
      <c r="C475" s="1"/>
      <c r="F475" s="2"/>
      <c r="G475" s="2"/>
    </row>
    <row r="476" spans="3:7" ht="14.25" customHeight="1" x14ac:dyDescent="0.3">
      <c r="C476" s="1"/>
      <c r="F476" s="2"/>
      <c r="G476" s="2"/>
    </row>
    <row r="477" spans="3:7" ht="14.25" customHeight="1" x14ac:dyDescent="0.3">
      <c r="C477" s="1"/>
      <c r="F477" s="2"/>
      <c r="G477" s="2"/>
    </row>
    <row r="478" spans="3:7" ht="14.25" customHeight="1" x14ac:dyDescent="0.3">
      <c r="C478" s="1"/>
      <c r="F478" s="2"/>
      <c r="G478" s="2"/>
    </row>
    <row r="479" spans="3:7" ht="14.25" customHeight="1" x14ac:dyDescent="0.3">
      <c r="C479" s="1"/>
      <c r="F479" s="2"/>
      <c r="G479" s="2"/>
    </row>
    <row r="480" spans="3:7" ht="14.25" customHeight="1" x14ac:dyDescent="0.3">
      <c r="C480" s="1"/>
      <c r="F480" s="2"/>
      <c r="G480" s="2"/>
    </row>
    <row r="481" spans="3:7" ht="14.25" customHeight="1" x14ac:dyDescent="0.3">
      <c r="C481" s="1"/>
      <c r="F481" s="2"/>
      <c r="G481" s="2"/>
    </row>
    <row r="482" spans="3:7" ht="14.25" customHeight="1" x14ac:dyDescent="0.3">
      <c r="C482" s="1"/>
      <c r="F482" s="2"/>
      <c r="G482" s="2"/>
    </row>
    <row r="483" spans="3:7" ht="14.25" customHeight="1" x14ac:dyDescent="0.3">
      <c r="C483" s="1"/>
      <c r="F483" s="2"/>
      <c r="G483" s="2"/>
    </row>
    <row r="484" spans="3:7" ht="14.25" customHeight="1" x14ac:dyDescent="0.3">
      <c r="C484" s="1"/>
      <c r="F484" s="2"/>
      <c r="G484" s="2"/>
    </row>
    <row r="485" spans="3:7" ht="14.25" customHeight="1" x14ac:dyDescent="0.3">
      <c r="C485" s="1"/>
      <c r="F485" s="2"/>
      <c r="G485" s="2"/>
    </row>
    <row r="486" spans="3:7" ht="14.25" customHeight="1" x14ac:dyDescent="0.3">
      <c r="C486" s="1"/>
      <c r="F486" s="2"/>
      <c r="G486" s="2"/>
    </row>
    <row r="487" spans="3:7" ht="14.25" customHeight="1" x14ac:dyDescent="0.3">
      <c r="C487" s="1"/>
      <c r="F487" s="2"/>
      <c r="G487" s="2"/>
    </row>
    <row r="488" spans="3:7" ht="14.25" customHeight="1" x14ac:dyDescent="0.3">
      <c r="C488" s="1"/>
      <c r="F488" s="2"/>
      <c r="G488" s="2"/>
    </row>
    <row r="489" spans="3:7" ht="14.25" customHeight="1" x14ac:dyDescent="0.3">
      <c r="C489" s="1"/>
      <c r="F489" s="2"/>
      <c r="G489" s="2"/>
    </row>
    <row r="490" spans="3:7" ht="14.25" customHeight="1" x14ac:dyDescent="0.3">
      <c r="C490" s="1"/>
      <c r="F490" s="2"/>
      <c r="G490" s="2"/>
    </row>
    <row r="491" spans="3:7" ht="14.25" customHeight="1" x14ac:dyDescent="0.3">
      <c r="C491" s="1"/>
      <c r="F491" s="2"/>
      <c r="G491" s="2"/>
    </row>
    <row r="492" spans="3:7" ht="14.25" customHeight="1" x14ac:dyDescent="0.3">
      <c r="C492" s="1"/>
      <c r="F492" s="2"/>
      <c r="G492" s="2"/>
    </row>
    <row r="493" spans="3:7" ht="14.25" customHeight="1" x14ac:dyDescent="0.3">
      <c r="C493" s="1"/>
      <c r="F493" s="2"/>
      <c r="G493" s="2"/>
    </row>
    <row r="494" spans="3:7" ht="14.25" customHeight="1" x14ac:dyDescent="0.3">
      <c r="C494" s="1"/>
      <c r="F494" s="2"/>
      <c r="G494" s="2"/>
    </row>
    <row r="495" spans="3:7" ht="14.25" customHeight="1" x14ac:dyDescent="0.3">
      <c r="C495" s="1"/>
      <c r="F495" s="2"/>
      <c r="G495" s="2"/>
    </row>
    <row r="496" spans="3:7" ht="14.25" customHeight="1" x14ac:dyDescent="0.3">
      <c r="C496" s="1"/>
      <c r="F496" s="2"/>
      <c r="G496" s="2"/>
    </row>
    <row r="497" spans="3:7" ht="14.25" customHeight="1" x14ac:dyDescent="0.3">
      <c r="C497" s="1"/>
      <c r="F497" s="2"/>
      <c r="G497" s="2"/>
    </row>
    <row r="498" spans="3:7" ht="14.25" customHeight="1" x14ac:dyDescent="0.3">
      <c r="C498" s="1"/>
      <c r="F498" s="2"/>
      <c r="G498" s="2"/>
    </row>
    <row r="499" spans="3:7" ht="14.25" customHeight="1" x14ac:dyDescent="0.3">
      <c r="C499" s="1"/>
      <c r="F499" s="2"/>
      <c r="G499" s="2"/>
    </row>
    <row r="500" spans="3:7" ht="14.25" customHeight="1" x14ac:dyDescent="0.3">
      <c r="C500" s="1"/>
      <c r="F500" s="2"/>
      <c r="G500" s="2"/>
    </row>
    <row r="501" spans="3:7" ht="14.25" customHeight="1" x14ac:dyDescent="0.3">
      <c r="C501" s="1"/>
      <c r="F501" s="2"/>
      <c r="G501" s="2"/>
    </row>
    <row r="502" spans="3:7" ht="14.25" customHeight="1" x14ac:dyDescent="0.3">
      <c r="C502" s="1"/>
      <c r="F502" s="2"/>
      <c r="G502" s="2"/>
    </row>
    <row r="503" spans="3:7" ht="14.25" customHeight="1" x14ac:dyDescent="0.3">
      <c r="C503" s="1"/>
      <c r="F503" s="2"/>
      <c r="G503" s="2"/>
    </row>
    <row r="504" spans="3:7" ht="14.25" customHeight="1" x14ac:dyDescent="0.3">
      <c r="C504" s="1"/>
      <c r="F504" s="2"/>
      <c r="G504" s="2"/>
    </row>
    <row r="505" spans="3:7" ht="14.25" customHeight="1" x14ac:dyDescent="0.3">
      <c r="C505" s="1"/>
      <c r="F505" s="2"/>
      <c r="G505" s="2"/>
    </row>
    <row r="506" spans="3:7" ht="14.25" customHeight="1" x14ac:dyDescent="0.3">
      <c r="C506" s="1"/>
      <c r="F506" s="2"/>
      <c r="G506" s="2"/>
    </row>
    <row r="507" spans="3:7" ht="14.25" customHeight="1" x14ac:dyDescent="0.3">
      <c r="C507" s="1"/>
      <c r="F507" s="2"/>
      <c r="G507" s="2"/>
    </row>
    <row r="508" spans="3:7" ht="14.25" customHeight="1" x14ac:dyDescent="0.3">
      <c r="C508" s="1"/>
      <c r="F508" s="2"/>
      <c r="G508" s="2"/>
    </row>
    <row r="509" spans="3:7" ht="14.25" customHeight="1" x14ac:dyDescent="0.3">
      <c r="C509" s="1"/>
      <c r="F509" s="2"/>
      <c r="G509" s="2"/>
    </row>
    <row r="510" spans="3:7" ht="14.25" customHeight="1" x14ac:dyDescent="0.3">
      <c r="C510" s="1"/>
      <c r="F510" s="2"/>
      <c r="G510" s="2"/>
    </row>
    <row r="511" spans="3:7" ht="14.25" customHeight="1" x14ac:dyDescent="0.3">
      <c r="C511" s="1"/>
      <c r="F511" s="2"/>
      <c r="G511" s="2"/>
    </row>
    <row r="512" spans="3:7" ht="14.25" customHeight="1" x14ac:dyDescent="0.3">
      <c r="C512" s="1"/>
      <c r="F512" s="2"/>
      <c r="G512" s="2"/>
    </row>
    <row r="513" spans="3:7" ht="14.25" customHeight="1" x14ac:dyDescent="0.3">
      <c r="C513" s="1"/>
      <c r="F513" s="2"/>
      <c r="G513" s="2"/>
    </row>
    <row r="514" spans="3:7" ht="14.25" customHeight="1" x14ac:dyDescent="0.3">
      <c r="C514" s="1"/>
      <c r="F514" s="2"/>
      <c r="G514" s="2"/>
    </row>
    <row r="515" spans="3:7" ht="14.25" customHeight="1" x14ac:dyDescent="0.3">
      <c r="C515" s="1"/>
      <c r="F515" s="2"/>
      <c r="G515" s="2"/>
    </row>
    <row r="516" spans="3:7" ht="14.25" customHeight="1" x14ac:dyDescent="0.3">
      <c r="C516" s="1"/>
      <c r="F516" s="2"/>
      <c r="G516" s="2"/>
    </row>
    <row r="517" spans="3:7" ht="14.25" customHeight="1" x14ac:dyDescent="0.3">
      <c r="C517" s="1"/>
      <c r="F517" s="2"/>
      <c r="G517" s="2"/>
    </row>
    <row r="518" spans="3:7" ht="14.25" customHeight="1" x14ac:dyDescent="0.3">
      <c r="C518" s="1"/>
      <c r="F518" s="2"/>
      <c r="G518" s="2"/>
    </row>
    <row r="519" spans="3:7" ht="14.25" customHeight="1" x14ac:dyDescent="0.3">
      <c r="C519" s="1"/>
      <c r="F519" s="2"/>
      <c r="G519" s="2"/>
    </row>
    <row r="520" spans="3:7" ht="14.25" customHeight="1" x14ac:dyDescent="0.3">
      <c r="C520" s="1"/>
      <c r="F520" s="2"/>
      <c r="G520" s="2"/>
    </row>
    <row r="521" spans="3:7" ht="14.25" customHeight="1" x14ac:dyDescent="0.3">
      <c r="C521" s="1"/>
      <c r="F521" s="2"/>
      <c r="G521" s="2"/>
    </row>
    <row r="522" spans="3:7" ht="14.25" customHeight="1" x14ac:dyDescent="0.3">
      <c r="C522" s="1"/>
      <c r="F522" s="2"/>
      <c r="G522" s="2"/>
    </row>
    <row r="523" spans="3:7" ht="14.25" customHeight="1" x14ac:dyDescent="0.3">
      <c r="C523" s="1"/>
      <c r="F523" s="2"/>
      <c r="G523" s="2"/>
    </row>
    <row r="524" spans="3:7" ht="14.25" customHeight="1" x14ac:dyDescent="0.3">
      <c r="C524" s="1"/>
      <c r="F524" s="2"/>
      <c r="G524" s="2"/>
    </row>
    <row r="525" spans="3:7" ht="14.25" customHeight="1" x14ac:dyDescent="0.3">
      <c r="C525" s="1"/>
      <c r="F525" s="2"/>
      <c r="G525" s="2"/>
    </row>
    <row r="526" spans="3:7" ht="14.25" customHeight="1" x14ac:dyDescent="0.3">
      <c r="C526" s="1"/>
      <c r="F526" s="2"/>
      <c r="G526" s="2"/>
    </row>
    <row r="527" spans="3:7" ht="14.25" customHeight="1" x14ac:dyDescent="0.3">
      <c r="C527" s="1"/>
      <c r="F527" s="2"/>
      <c r="G527" s="2"/>
    </row>
    <row r="528" spans="3:7" ht="14.25" customHeight="1" x14ac:dyDescent="0.3">
      <c r="C528" s="1"/>
      <c r="F528" s="2"/>
      <c r="G528" s="2"/>
    </row>
    <row r="529" spans="3:7" ht="14.25" customHeight="1" x14ac:dyDescent="0.3">
      <c r="C529" s="1"/>
      <c r="F529" s="2"/>
      <c r="G529" s="2"/>
    </row>
    <row r="530" spans="3:7" ht="14.25" customHeight="1" x14ac:dyDescent="0.3">
      <c r="C530" s="1"/>
      <c r="F530" s="2"/>
      <c r="G530" s="2"/>
    </row>
    <row r="531" spans="3:7" ht="14.25" customHeight="1" x14ac:dyDescent="0.3">
      <c r="C531" s="1"/>
      <c r="F531" s="2"/>
      <c r="G531" s="2"/>
    </row>
    <row r="532" spans="3:7" ht="14.25" customHeight="1" x14ac:dyDescent="0.3">
      <c r="C532" s="1"/>
      <c r="F532" s="2"/>
      <c r="G532" s="2"/>
    </row>
    <row r="533" spans="3:7" ht="14.25" customHeight="1" x14ac:dyDescent="0.3">
      <c r="C533" s="1"/>
      <c r="F533" s="2"/>
      <c r="G533" s="2"/>
    </row>
    <row r="534" spans="3:7" ht="14.25" customHeight="1" x14ac:dyDescent="0.3">
      <c r="C534" s="1"/>
      <c r="F534" s="2"/>
      <c r="G534" s="2"/>
    </row>
    <row r="535" spans="3:7" ht="14.25" customHeight="1" x14ac:dyDescent="0.3">
      <c r="C535" s="1"/>
      <c r="F535" s="2"/>
      <c r="G535" s="2"/>
    </row>
    <row r="536" spans="3:7" ht="14.25" customHeight="1" x14ac:dyDescent="0.3">
      <c r="C536" s="1"/>
      <c r="F536" s="2"/>
      <c r="G536" s="2"/>
    </row>
    <row r="537" spans="3:7" ht="14.25" customHeight="1" x14ac:dyDescent="0.3">
      <c r="C537" s="1"/>
      <c r="F537" s="2"/>
      <c r="G537" s="2"/>
    </row>
    <row r="538" spans="3:7" ht="14.25" customHeight="1" x14ac:dyDescent="0.3">
      <c r="C538" s="1"/>
      <c r="F538" s="2"/>
      <c r="G538" s="2"/>
    </row>
    <row r="539" spans="3:7" ht="14.25" customHeight="1" x14ac:dyDescent="0.3">
      <c r="C539" s="1"/>
      <c r="F539" s="2"/>
      <c r="G539" s="2"/>
    </row>
    <row r="540" spans="3:7" ht="14.25" customHeight="1" x14ac:dyDescent="0.3">
      <c r="C540" s="1"/>
      <c r="F540" s="2"/>
      <c r="G540" s="2"/>
    </row>
    <row r="541" spans="3:7" ht="14.25" customHeight="1" x14ac:dyDescent="0.3">
      <c r="C541" s="1"/>
      <c r="F541" s="2"/>
      <c r="G541" s="2"/>
    </row>
    <row r="542" spans="3:7" ht="14.25" customHeight="1" x14ac:dyDescent="0.3">
      <c r="C542" s="1"/>
      <c r="F542" s="2"/>
      <c r="G542" s="2"/>
    </row>
    <row r="543" spans="3:7" ht="14.25" customHeight="1" x14ac:dyDescent="0.3">
      <c r="C543" s="1"/>
      <c r="F543" s="2"/>
      <c r="G543" s="2"/>
    </row>
    <row r="544" spans="3:7" ht="14.25" customHeight="1" x14ac:dyDescent="0.3">
      <c r="C544" s="1"/>
      <c r="F544" s="2"/>
      <c r="G544" s="2"/>
    </row>
    <row r="545" spans="3:7" ht="14.25" customHeight="1" x14ac:dyDescent="0.3">
      <c r="C545" s="1"/>
      <c r="F545" s="2"/>
      <c r="G545" s="2"/>
    </row>
    <row r="546" spans="3:7" ht="14.25" customHeight="1" x14ac:dyDescent="0.3">
      <c r="C546" s="1"/>
      <c r="F546" s="2"/>
      <c r="G546" s="2"/>
    </row>
    <row r="547" spans="3:7" ht="14.25" customHeight="1" x14ac:dyDescent="0.3">
      <c r="C547" s="1"/>
      <c r="F547" s="2"/>
      <c r="G547" s="2"/>
    </row>
    <row r="548" spans="3:7" ht="14.25" customHeight="1" x14ac:dyDescent="0.3">
      <c r="C548" s="1"/>
      <c r="F548" s="2"/>
      <c r="G548" s="2"/>
    </row>
    <row r="549" spans="3:7" ht="14.25" customHeight="1" x14ac:dyDescent="0.3">
      <c r="C549" s="1"/>
      <c r="F549" s="2"/>
      <c r="G549" s="2"/>
    </row>
    <row r="550" spans="3:7" ht="14.25" customHeight="1" x14ac:dyDescent="0.3">
      <c r="C550" s="1"/>
      <c r="F550" s="2"/>
      <c r="G550" s="2"/>
    </row>
    <row r="551" spans="3:7" ht="14.25" customHeight="1" x14ac:dyDescent="0.3">
      <c r="C551" s="1"/>
      <c r="F551" s="2"/>
      <c r="G551" s="2"/>
    </row>
    <row r="552" spans="3:7" ht="14.25" customHeight="1" x14ac:dyDescent="0.3">
      <c r="C552" s="1"/>
      <c r="F552" s="2"/>
      <c r="G552" s="2"/>
    </row>
    <row r="553" spans="3:7" ht="14.25" customHeight="1" x14ac:dyDescent="0.3">
      <c r="C553" s="1"/>
      <c r="F553" s="2"/>
      <c r="G553" s="2"/>
    </row>
    <row r="554" spans="3:7" ht="14.25" customHeight="1" x14ac:dyDescent="0.3">
      <c r="C554" s="1"/>
      <c r="F554" s="2"/>
      <c r="G554" s="2"/>
    </row>
    <row r="555" spans="3:7" ht="14.25" customHeight="1" x14ac:dyDescent="0.3">
      <c r="C555" s="1"/>
      <c r="F555" s="2"/>
      <c r="G555" s="2"/>
    </row>
    <row r="556" spans="3:7" ht="14.25" customHeight="1" x14ac:dyDescent="0.3">
      <c r="C556" s="1"/>
      <c r="F556" s="2"/>
      <c r="G556" s="2"/>
    </row>
    <row r="557" spans="3:7" ht="14.25" customHeight="1" x14ac:dyDescent="0.3">
      <c r="C557" s="1"/>
      <c r="F557" s="2"/>
      <c r="G557" s="2"/>
    </row>
    <row r="558" spans="3:7" ht="14.25" customHeight="1" x14ac:dyDescent="0.3">
      <c r="C558" s="1"/>
      <c r="F558" s="2"/>
      <c r="G558" s="2"/>
    </row>
    <row r="559" spans="3:7" ht="14.25" customHeight="1" x14ac:dyDescent="0.3">
      <c r="C559" s="1"/>
      <c r="F559" s="2"/>
      <c r="G559" s="2"/>
    </row>
    <row r="560" spans="3:7" ht="14.25" customHeight="1" x14ac:dyDescent="0.3">
      <c r="C560" s="1"/>
      <c r="F560" s="2"/>
      <c r="G560" s="2"/>
    </row>
    <row r="561" spans="3:7" ht="14.25" customHeight="1" x14ac:dyDescent="0.3">
      <c r="C561" s="1"/>
      <c r="F561" s="2"/>
      <c r="G561" s="2"/>
    </row>
    <row r="562" spans="3:7" ht="14.25" customHeight="1" x14ac:dyDescent="0.3">
      <c r="C562" s="1"/>
      <c r="F562" s="2"/>
      <c r="G562" s="2"/>
    </row>
    <row r="563" spans="3:7" ht="14.25" customHeight="1" x14ac:dyDescent="0.3">
      <c r="C563" s="1"/>
      <c r="F563" s="2"/>
      <c r="G563" s="2"/>
    </row>
    <row r="564" spans="3:7" ht="14.25" customHeight="1" x14ac:dyDescent="0.3">
      <c r="C564" s="1"/>
      <c r="F564" s="2"/>
      <c r="G564" s="2"/>
    </row>
    <row r="565" spans="3:7" ht="14.25" customHeight="1" x14ac:dyDescent="0.3">
      <c r="C565" s="1"/>
      <c r="F565" s="2"/>
      <c r="G565" s="2"/>
    </row>
    <row r="566" spans="3:7" ht="14.25" customHeight="1" x14ac:dyDescent="0.3">
      <c r="C566" s="1"/>
      <c r="F566" s="2"/>
      <c r="G566" s="2"/>
    </row>
    <row r="567" spans="3:7" ht="14.25" customHeight="1" x14ac:dyDescent="0.3">
      <c r="C567" s="1"/>
      <c r="F567" s="2"/>
      <c r="G567" s="2"/>
    </row>
    <row r="568" spans="3:7" ht="14.25" customHeight="1" x14ac:dyDescent="0.3">
      <c r="C568" s="1"/>
      <c r="F568" s="2"/>
      <c r="G568" s="2"/>
    </row>
    <row r="569" spans="3:7" ht="14.25" customHeight="1" x14ac:dyDescent="0.3">
      <c r="C569" s="1"/>
      <c r="F569" s="2"/>
      <c r="G569" s="2"/>
    </row>
    <row r="570" spans="3:7" ht="14.25" customHeight="1" x14ac:dyDescent="0.3">
      <c r="C570" s="1"/>
      <c r="F570" s="2"/>
      <c r="G570" s="2"/>
    </row>
    <row r="571" spans="3:7" ht="14.25" customHeight="1" x14ac:dyDescent="0.3">
      <c r="C571" s="1"/>
      <c r="F571" s="2"/>
      <c r="G571" s="2"/>
    </row>
    <row r="572" spans="3:7" ht="14.25" customHeight="1" x14ac:dyDescent="0.3">
      <c r="C572" s="1"/>
      <c r="F572" s="2"/>
      <c r="G572" s="2"/>
    </row>
    <row r="573" spans="3:7" ht="14.25" customHeight="1" x14ac:dyDescent="0.3">
      <c r="C573" s="1"/>
      <c r="F573" s="2"/>
      <c r="G573" s="2"/>
    </row>
    <row r="574" spans="3:7" ht="14.25" customHeight="1" x14ac:dyDescent="0.3">
      <c r="C574" s="1"/>
      <c r="F574" s="2"/>
      <c r="G574" s="2"/>
    </row>
    <row r="575" spans="3:7" ht="14.25" customHeight="1" x14ac:dyDescent="0.3">
      <c r="C575" s="1"/>
      <c r="F575" s="2"/>
      <c r="G575" s="2"/>
    </row>
    <row r="576" spans="3:7" ht="14.25" customHeight="1" x14ac:dyDescent="0.3">
      <c r="C576" s="1"/>
      <c r="F576" s="2"/>
      <c r="G576" s="2"/>
    </row>
    <row r="577" spans="3:7" ht="14.25" customHeight="1" x14ac:dyDescent="0.3">
      <c r="C577" s="1"/>
      <c r="F577" s="2"/>
      <c r="G577" s="2"/>
    </row>
    <row r="578" spans="3:7" ht="14.25" customHeight="1" x14ac:dyDescent="0.3">
      <c r="C578" s="1"/>
      <c r="F578" s="2"/>
      <c r="G578" s="2"/>
    </row>
    <row r="579" spans="3:7" ht="14.25" customHeight="1" x14ac:dyDescent="0.3">
      <c r="C579" s="1"/>
      <c r="F579" s="2"/>
      <c r="G579" s="2"/>
    </row>
    <row r="580" spans="3:7" ht="14.25" customHeight="1" x14ac:dyDescent="0.3">
      <c r="C580" s="1"/>
      <c r="F580" s="2"/>
      <c r="G580" s="2"/>
    </row>
    <row r="581" spans="3:7" ht="14.25" customHeight="1" x14ac:dyDescent="0.3">
      <c r="C581" s="1"/>
      <c r="F581" s="2"/>
      <c r="G581" s="2"/>
    </row>
    <row r="582" spans="3:7" ht="14.25" customHeight="1" x14ac:dyDescent="0.3">
      <c r="C582" s="1"/>
      <c r="F582" s="2"/>
      <c r="G582" s="2"/>
    </row>
    <row r="583" spans="3:7" ht="14.25" customHeight="1" x14ac:dyDescent="0.3">
      <c r="C583" s="1"/>
      <c r="F583" s="2"/>
      <c r="G583" s="2"/>
    </row>
    <row r="584" spans="3:7" ht="14.25" customHeight="1" x14ac:dyDescent="0.3">
      <c r="C584" s="1"/>
      <c r="F584" s="2"/>
      <c r="G584" s="2"/>
    </row>
    <row r="585" spans="3:7" ht="14.25" customHeight="1" x14ac:dyDescent="0.3">
      <c r="C585" s="1"/>
      <c r="F585" s="2"/>
      <c r="G585" s="2"/>
    </row>
    <row r="586" spans="3:7" ht="14.25" customHeight="1" x14ac:dyDescent="0.3">
      <c r="C586" s="1"/>
      <c r="F586" s="2"/>
      <c r="G586" s="2"/>
    </row>
    <row r="587" spans="3:7" ht="14.25" customHeight="1" x14ac:dyDescent="0.3">
      <c r="C587" s="1"/>
      <c r="F587" s="2"/>
      <c r="G587" s="2"/>
    </row>
    <row r="588" spans="3:7" ht="14.25" customHeight="1" x14ac:dyDescent="0.3">
      <c r="C588" s="1"/>
      <c r="F588" s="2"/>
      <c r="G588" s="2"/>
    </row>
    <row r="589" spans="3:7" ht="14.25" customHeight="1" x14ac:dyDescent="0.3">
      <c r="C589" s="1"/>
      <c r="F589" s="2"/>
      <c r="G589" s="2"/>
    </row>
    <row r="590" spans="3:7" ht="14.25" customHeight="1" x14ac:dyDescent="0.3">
      <c r="C590" s="1"/>
      <c r="F590" s="2"/>
      <c r="G590" s="2"/>
    </row>
    <row r="591" spans="3:7" ht="14.25" customHeight="1" x14ac:dyDescent="0.3">
      <c r="C591" s="1"/>
      <c r="F591" s="2"/>
      <c r="G591" s="2"/>
    </row>
    <row r="592" spans="3:7" ht="14.25" customHeight="1" x14ac:dyDescent="0.3">
      <c r="C592" s="1"/>
      <c r="F592" s="2"/>
      <c r="G592" s="2"/>
    </row>
    <row r="593" spans="3:7" ht="14.25" customHeight="1" x14ac:dyDescent="0.3">
      <c r="C593" s="1"/>
      <c r="F593" s="2"/>
      <c r="G593" s="2"/>
    </row>
    <row r="594" spans="3:7" ht="14.25" customHeight="1" x14ac:dyDescent="0.3">
      <c r="C594" s="1"/>
      <c r="F594" s="2"/>
      <c r="G594" s="2"/>
    </row>
    <row r="595" spans="3:7" ht="14.25" customHeight="1" x14ac:dyDescent="0.3">
      <c r="C595" s="1"/>
      <c r="F595" s="2"/>
      <c r="G595" s="2"/>
    </row>
    <row r="596" spans="3:7" ht="14.25" customHeight="1" x14ac:dyDescent="0.3">
      <c r="C596" s="1"/>
      <c r="F596" s="2"/>
      <c r="G596" s="2"/>
    </row>
    <row r="597" spans="3:7" ht="14.25" customHeight="1" x14ac:dyDescent="0.3">
      <c r="C597" s="1"/>
      <c r="F597" s="2"/>
      <c r="G597" s="2"/>
    </row>
    <row r="598" spans="3:7" ht="14.25" customHeight="1" x14ac:dyDescent="0.3">
      <c r="C598" s="1"/>
      <c r="F598" s="2"/>
      <c r="G598" s="2"/>
    </row>
    <row r="599" spans="3:7" ht="14.25" customHeight="1" x14ac:dyDescent="0.3">
      <c r="C599" s="1"/>
      <c r="F599" s="2"/>
      <c r="G599" s="2"/>
    </row>
    <row r="600" spans="3:7" ht="14.25" customHeight="1" x14ac:dyDescent="0.3">
      <c r="C600" s="1"/>
      <c r="F600" s="2"/>
      <c r="G600" s="2"/>
    </row>
    <row r="601" spans="3:7" ht="14.25" customHeight="1" x14ac:dyDescent="0.3">
      <c r="C601" s="1"/>
      <c r="F601" s="2"/>
      <c r="G601" s="2"/>
    </row>
    <row r="602" spans="3:7" ht="14.25" customHeight="1" x14ac:dyDescent="0.3">
      <c r="C602" s="1"/>
      <c r="F602" s="2"/>
      <c r="G602" s="2"/>
    </row>
    <row r="603" spans="3:7" ht="14.25" customHeight="1" x14ac:dyDescent="0.3">
      <c r="C603" s="1"/>
      <c r="F603" s="2"/>
      <c r="G603" s="2"/>
    </row>
    <row r="604" spans="3:7" ht="14.25" customHeight="1" x14ac:dyDescent="0.3">
      <c r="C604" s="1"/>
      <c r="F604" s="2"/>
      <c r="G604" s="2"/>
    </row>
    <row r="605" spans="3:7" ht="14.25" customHeight="1" x14ac:dyDescent="0.3">
      <c r="C605" s="1"/>
      <c r="F605" s="2"/>
      <c r="G605" s="2"/>
    </row>
    <row r="606" spans="3:7" ht="14.25" customHeight="1" x14ac:dyDescent="0.3">
      <c r="C606" s="1"/>
      <c r="F606" s="2"/>
      <c r="G606" s="2"/>
    </row>
    <row r="607" spans="3:7" ht="14.25" customHeight="1" x14ac:dyDescent="0.3">
      <c r="C607" s="1"/>
      <c r="F607" s="2"/>
      <c r="G607" s="2"/>
    </row>
    <row r="608" spans="3:7" ht="14.25" customHeight="1" x14ac:dyDescent="0.3">
      <c r="C608" s="1"/>
      <c r="F608" s="2"/>
      <c r="G608" s="2"/>
    </row>
    <row r="609" spans="3:7" ht="14.25" customHeight="1" x14ac:dyDescent="0.3">
      <c r="C609" s="1"/>
      <c r="F609" s="2"/>
      <c r="G609" s="2"/>
    </row>
    <row r="610" spans="3:7" ht="14.25" customHeight="1" x14ac:dyDescent="0.3">
      <c r="C610" s="1"/>
      <c r="F610" s="2"/>
      <c r="G610" s="2"/>
    </row>
    <row r="611" spans="3:7" ht="14.25" customHeight="1" x14ac:dyDescent="0.3">
      <c r="C611" s="1"/>
      <c r="F611" s="2"/>
      <c r="G611" s="2"/>
    </row>
    <row r="612" spans="3:7" ht="14.25" customHeight="1" x14ac:dyDescent="0.3">
      <c r="C612" s="1"/>
      <c r="F612" s="2"/>
      <c r="G612" s="2"/>
    </row>
    <row r="613" spans="3:7" ht="14.25" customHeight="1" x14ac:dyDescent="0.3">
      <c r="C613" s="1"/>
      <c r="F613" s="2"/>
      <c r="G613" s="2"/>
    </row>
    <row r="614" spans="3:7" ht="14.25" customHeight="1" x14ac:dyDescent="0.3">
      <c r="C614" s="1"/>
      <c r="F614" s="2"/>
      <c r="G614" s="2"/>
    </row>
    <row r="615" spans="3:7" ht="14.25" customHeight="1" x14ac:dyDescent="0.3">
      <c r="C615" s="1"/>
      <c r="F615" s="2"/>
      <c r="G615" s="2"/>
    </row>
    <row r="616" spans="3:7" ht="14.25" customHeight="1" x14ac:dyDescent="0.3">
      <c r="C616" s="1"/>
      <c r="F616" s="2"/>
      <c r="G616" s="2"/>
    </row>
    <row r="617" spans="3:7" ht="14.25" customHeight="1" x14ac:dyDescent="0.3">
      <c r="C617" s="1"/>
      <c r="F617" s="2"/>
      <c r="G617" s="2"/>
    </row>
    <row r="618" spans="3:7" ht="14.25" customHeight="1" x14ac:dyDescent="0.3">
      <c r="C618" s="1"/>
      <c r="F618" s="2"/>
      <c r="G618" s="2"/>
    </row>
    <row r="619" spans="3:7" ht="14.25" customHeight="1" x14ac:dyDescent="0.3">
      <c r="C619" s="1"/>
      <c r="F619" s="2"/>
      <c r="G619" s="2"/>
    </row>
    <row r="620" spans="3:7" ht="14.25" customHeight="1" x14ac:dyDescent="0.3">
      <c r="C620" s="1"/>
      <c r="F620" s="2"/>
      <c r="G620" s="2"/>
    </row>
    <row r="621" spans="3:7" ht="14.25" customHeight="1" x14ac:dyDescent="0.3">
      <c r="C621" s="1"/>
      <c r="F621" s="2"/>
      <c r="G621" s="2"/>
    </row>
    <row r="622" spans="3:7" ht="14.25" customHeight="1" x14ac:dyDescent="0.3">
      <c r="C622" s="1"/>
      <c r="F622" s="2"/>
      <c r="G622" s="2"/>
    </row>
    <row r="623" spans="3:7" ht="14.25" customHeight="1" x14ac:dyDescent="0.3">
      <c r="C623" s="1"/>
      <c r="F623" s="2"/>
      <c r="G623" s="2"/>
    </row>
    <row r="624" spans="3:7" ht="14.25" customHeight="1" x14ac:dyDescent="0.3">
      <c r="C624" s="1"/>
      <c r="F624" s="2"/>
      <c r="G624" s="2"/>
    </row>
    <row r="625" spans="3:7" ht="14.25" customHeight="1" x14ac:dyDescent="0.3">
      <c r="C625" s="1"/>
      <c r="F625" s="2"/>
      <c r="G625" s="2"/>
    </row>
    <row r="626" spans="3:7" ht="14.25" customHeight="1" x14ac:dyDescent="0.3">
      <c r="C626" s="1"/>
      <c r="F626" s="2"/>
      <c r="G626" s="2"/>
    </row>
    <row r="627" spans="3:7" ht="14.25" customHeight="1" x14ac:dyDescent="0.3">
      <c r="C627" s="1"/>
      <c r="F627" s="2"/>
      <c r="G627" s="2"/>
    </row>
    <row r="628" spans="3:7" ht="14.25" customHeight="1" x14ac:dyDescent="0.3">
      <c r="C628" s="1"/>
      <c r="F628" s="2"/>
      <c r="G628" s="2"/>
    </row>
    <row r="629" spans="3:7" ht="14.25" customHeight="1" x14ac:dyDescent="0.3">
      <c r="C629" s="1"/>
      <c r="F629" s="2"/>
      <c r="G629" s="2"/>
    </row>
    <row r="630" spans="3:7" ht="14.25" customHeight="1" x14ac:dyDescent="0.3">
      <c r="C630" s="1"/>
      <c r="F630" s="2"/>
      <c r="G630" s="2"/>
    </row>
    <row r="631" spans="3:7" ht="14.25" customHeight="1" x14ac:dyDescent="0.3">
      <c r="C631" s="1"/>
      <c r="F631" s="2"/>
      <c r="G631" s="2"/>
    </row>
    <row r="632" spans="3:7" ht="14.25" customHeight="1" x14ac:dyDescent="0.3">
      <c r="C632" s="1"/>
      <c r="F632" s="2"/>
      <c r="G632" s="2"/>
    </row>
    <row r="633" spans="3:7" ht="14.25" customHeight="1" x14ac:dyDescent="0.3">
      <c r="C633" s="1"/>
      <c r="F633" s="2"/>
      <c r="G633" s="2"/>
    </row>
    <row r="634" spans="3:7" ht="14.25" customHeight="1" x14ac:dyDescent="0.3">
      <c r="C634" s="1"/>
      <c r="F634" s="2"/>
      <c r="G634" s="2"/>
    </row>
    <row r="635" spans="3:7" ht="14.25" customHeight="1" x14ac:dyDescent="0.3">
      <c r="C635" s="1"/>
      <c r="F635" s="2"/>
      <c r="G635" s="2"/>
    </row>
    <row r="636" spans="3:7" ht="14.25" customHeight="1" x14ac:dyDescent="0.3">
      <c r="C636" s="1"/>
      <c r="F636" s="2"/>
      <c r="G636" s="2"/>
    </row>
    <row r="637" spans="3:7" ht="14.25" customHeight="1" x14ac:dyDescent="0.3">
      <c r="C637" s="1"/>
      <c r="F637" s="2"/>
      <c r="G637" s="2"/>
    </row>
    <row r="638" spans="3:7" ht="14.25" customHeight="1" x14ac:dyDescent="0.3">
      <c r="C638" s="1"/>
      <c r="F638" s="2"/>
      <c r="G638" s="2"/>
    </row>
    <row r="639" spans="3:7" ht="14.25" customHeight="1" x14ac:dyDescent="0.3">
      <c r="C639" s="1"/>
      <c r="F639" s="2"/>
      <c r="G639" s="2"/>
    </row>
    <row r="640" spans="3:7" ht="14.25" customHeight="1" x14ac:dyDescent="0.3">
      <c r="C640" s="1"/>
      <c r="F640" s="2"/>
      <c r="G640" s="2"/>
    </row>
    <row r="641" spans="3:7" ht="14.25" customHeight="1" x14ac:dyDescent="0.3">
      <c r="C641" s="1"/>
      <c r="F641" s="2"/>
      <c r="G641" s="2"/>
    </row>
    <row r="642" spans="3:7" ht="14.25" customHeight="1" x14ac:dyDescent="0.3">
      <c r="C642" s="1"/>
      <c r="F642" s="2"/>
      <c r="G642" s="2"/>
    </row>
    <row r="643" spans="3:7" ht="14.25" customHeight="1" x14ac:dyDescent="0.3">
      <c r="C643" s="1"/>
      <c r="F643" s="2"/>
      <c r="G643" s="2"/>
    </row>
    <row r="644" spans="3:7" ht="14.25" customHeight="1" x14ac:dyDescent="0.3">
      <c r="C644" s="1"/>
      <c r="F644" s="2"/>
      <c r="G644" s="2"/>
    </row>
    <row r="645" spans="3:7" ht="14.25" customHeight="1" x14ac:dyDescent="0.3">
      <c r="C645" s="1"/>
      <c r="F645" s="2"/>
      <c r="G645" s="2"/>
    </row>
    <row r="646" spans="3:7" ht="14.25" customHeight="1" x14ac:dyDescent="0.3">
      <c r="C646" s="1"/>
      <c r="F646" s="2"/>
      <c r="G646" s="2"/>
    </row>
    <row r="647" spans="3:7" ht="14.25" customHeight="1" x14ac:dyDescent="0.3">
      <c r="C647" s="1"/>
      <c r="F647" s="2"/>
      <c r="G647" s="2"/>
    </row>
    <row r="648" spans="3:7" ht="14.25" customHeight="1" x14ac:dyDescent="0.3">
      <c r="C648" s="1"/>
      <c r="F648" s="2"/>
      <c r="G648" s="2"/>
    </row>
    <row r="649" spans="3:7" ht="14.25" customHeight="1" x14ac:dyDescent="0.3">
      <c r="C649" s="1"/>
      <c r="F649" s="2"/>
      <c r="G649" s="2"/>
    </row>
    <row r="650" spans="3:7" ht="14.25" customHeight="1" x14ac:dyDescent="0.3">
      <c r="C650" s="1"/>
      <c r="F650" s="2"/>
      <c r="G650" s="2"/>
    </row>
    <row r="651" spans="3:7" ht="14.25" customHeight="1" x14ac:dyDescent="0.3">
      <c r="C651" s="1"/>
      <c r="F651" s="2"/>
      <c r="G651" s="2"/>
    </row>
    <row r="652" spans="3:7" ht="14.25" customHeight="1" x14ac:dyDescent="0.3">
      <c r="C652" s="1"/>
      <c r="F652" s="2"/>
      <c r="G652" s="2"/>
    </row>
    <row r="653" spans="3:7" ht="14.25" customHeight="1" x14ac:dyDescent="0.3">
      <c r="C653" s="1"/>
      <c r="F653" s="2"/>
      <c r="G653" s="2"/>
    </row>
    <row r="654" spans="3:7" ht="14.25" customHeight="1" x14ac:dyDescent="0.3">
      <c r="C654" s="1"/>
      <c r="F654" s="2"/>
      <c r="G654" s="2"/>
    </row>
    <row r="655" spans="3:7" ht="14.25" customHeight="1" x14ac:dyDescent="0.3">
      <c r="C655" s="1"/>
      <c r="F655" s="2"/>
      <c r="G655" s="2"/>
    </row>
    <row r="656" spans="3:7" ht="14.25" customHeight="1" x14ac:dyDescent="0.3">
      <c r="C656" s="1"/>
      <c r="F656" s="2"/>
      <c r="G656" s="2"/>
    </row>
    <row r="657" spans="3:7" ht="14.25" customHeight="1" x14ac:dyDescent="0.3">
      <c r="C657" s="1"/>
      <c r="F657" s="2"/>
      <c r="G657" s="2"/>
    </row>
    <row r="658" spans="3:7" ht="14.25" customHeight="1" x14ac:dyDescent="0.3">
      <c r="C658" s="1"/>
      <c r="F658" s="2"/>
      <c r="G658" s="2"/>
    </row>
    <row r="659" spans="3:7" ht="14.25" customHeight="1" x14ac:dyDescent="0.3">
      <c r="C659" s="1"/>
      <c r="F659" s="2"/>
      <c r="G659" s="2"/>
    </row>
    <row r="660" spans="3:7" ht="14.25" customHeight="1" x14ac:dyDescent="0.3">
      <c r="C660" s="1"/>
      <c r="F660" s="2"/>
      <c r="G660" s="2"/>
    </row>
    <row r="661" spans="3:7" ht="14.25" customHeight="1" x14ac:dyDescent="0.3">
      <c r="C661" s="1"/>
      <c r="F661" s="2"/>
      <c r="G661" s="2"/>
    </row>
    <row r="662" spans="3:7" ht="14.25" customHeight="1" x14ac:dyDescent="0.3">
      <c r="C662" s="1"/>
      <c r="F662" s="2"/>
      <c r="G662" s="2"/>
    </row>
    <row r="663" spans="3:7" ht="14.25" customHeight="1" x14ac:dyDescent="0.3">
      <c r="C663" s="1"/>
      <c r="F663" s="2"/>
      <c r="G663" s="2"/>
    </row>
    <row r="664" spans="3:7" ht="14.25" customHeight="1" x14ac:dyDescent="0.3">
      <c r="C664" s="1"/>
      <c r="F664" s="2"/>
      <c r="G664" s="2"/>
    </row>
    <row r="665" spans="3:7" ht="14.25" customHeight="1" x14ac:dyDescent="0.3">
      <c r="C665" s="1"/>
      <c r="F665" s="2"/>
      <c r="G665" s="2"/>
    </row>
    <row r="666" spans="3:7" ht="14.25" customHeight="1" x14ac:dyDescent="0.3">
      <c r="C666" s="1"/>
      <c r="F666" s="2"/>
      <c r="G666" s="2"/>
    </row>
    <row r="667" spans="3:7" ht="14.25" customHeight="1" x14ac:dyDescent="0.3">
      <c r="C667" s="1"/>
      <c r="F667" s="2"/>
      <c r="G667" s="2"/>
    </row>
    <row r="668" spans="3:7" ht="14.25" customHeight="1" x14ac:dyDescent="0.3">
      <c r="C668" s="1"/>
      <c r="F668" s="2"/>
      <c r="G668" s="2"/>
    </row>
    <row r="669" spans="3:7" ht="14.25" customHeight="1" x14ac:dyDescent="0.3">
      <c r="C669" s="1"/>
      <c r="F669" s="2"/>
      <c r="G669" s="2"/>
    </row>
    <row r="670" spans="3:7" ht="14.25" customHeight="1" x14ac:dyDescent="0.3">
      <c r="C670" s="1"/>
      <c r="F670" s="2"/>
      <c r="G670" s="2"/>
    </row>
    <row r="671" spans="3:7" ht="14.25" customHeight="1" x14ac:dyDescent="0.3">
      <c r="C671" s="1"/>
      <c r="F671" s="2"/>
      <c r="G671" s="2"/>
    </row>
    <row r="672" spans="3:7" ht="14.25" customHeight="1" x14ac:dyDescent="0.3">
      <c r="C672" s="1"/>
      <c r="F672" s="2"/>
      <c r="G672" s="2"/>
    </row>
    <row r="673" spans="3:7" ht="14.25" customHeight="1" x14ac:dyDescent="0.3">
      <c r="C673" s="1"/>
      <c r="F673" s="2"/>
      <c r="G673" s="2"/>
    </row>
    <row r="674" spans="3:7" ht="14.25" customHeight="1" x14ac:dyDescent="0.3">
      <c r="C674" s="1"/>
      <c r="F674" s="2"/>
      <c r="G674" s="2"/>
    </row>
    <row r="675" spans="3:7" ht="14.25" customHeight="1" x14ac:dyDescent="0.3">
      <c r="C675" s="1"/>
      <c r="F675" s="2"/>
      <c r="G675" s="2"/>
    </row>
    <row r="676" spans="3:7" ht="14.25" customHeight="1" x14ac:dyDescent="0.3">
      <c r="C676" s="1"/>
      <c r="F676" s="2"/>
      <c r="G676" s="2"/>
    </row>
    <row r="677" spans="3:7" ht="14.25" customHeight="1" x14ac:dyDescent="0.3">
      <c r="C677" s="1"/>
      <c r="F677" s="2"/>
      <c r="G677" s="2"/>
    </row>
    <row r="678" spans="3:7" ht="14.25" customHeight="1" x14ac:dyDescent="0.3">
      <c r="C678" s="1"/>
      <c r="F678" s="2"/>
      <c r="G678" s="2"/>
    </row>
    <row r="679" spans="3:7" ht="14.25" customHeight="1" x14ac:dyDescent="0.3">
      <c r="C679" s="1"/>
      <c r="F679" s="2"/>
      <c r="G679" s="2"/>
    </row>
    <row r="680" spans="3:7" ht="14.25" customHeight="1" x14ac:dyDescent="0.3">
      <c r="C680" s="1"/>
      <c r="F680" s="2"/>
      <c r="G680" s="2"/>
    </row>
    <row r="681" spans="3:7" ht="14.25" customHeight="1" x14ac:dyDescent="0.3">
      <c r="C681" s="1"/>
      <c r="F681" s="2"/>
      <c r="G681" s="2"/>
    </row>
    <row r="682" spans="3:7" ht="14.25" customHeight="1" x14ac:dyDescent="0.3">
      <c r="C682" s="1"/>
      <c r="F682" s="2"/>
      <c r="G682" s="2"/>
    </row>
    <row r="683" spans="3:7" ht="14.25" customHeight="1" x14ac:dyDescent="0.3">
      <c r="C683" s="1"/>
      <c r="F683" s="2"/>
      <c r="G683" s="2"/>
    </row>
    <row r="684" spans="3:7" ht="14.25" customHeight="1" x14ac:dyDescent="0.3">
      <c r="C684" s="1"/>
      <c r="F684" s="2"/>
      <c r="G684" s="2"/>
    </row>
    <row r="685" spans="3:7" ht="14.25" customHeight="1" x14ac:dyDescent="0.3">
      <c r="C685" s="1"/>
      <c r="F685" s="2"/>
      <c r="G685" s="2"/>
    </row>
    <row r="686" spans="3:7" ht="14.25" customHeight="1" x14ac:dyDescent="0.3">
      <c r="C686" s="1"/>
      <c r="F686" s="2"/>
      <c r="G686" s="2"/>
    </row>
    <row r="687" spans="3:7" ht="14.25" customHeight="1" x14ac:dyDescent="0.3">
      <c r="C687" s="1"/>
      <c r="F687" s="2"/>
      <c r="G687" s="2"/>
    </row>
    <row r="688" spans="3:7" ht="14.25" customHeight="1" x14ac:dyDescent="0.3">
      <c r="C688" s="1"/>
      <c r="F688" s="2"/>
      <c r="G688" s="2"/>
    </row>
    <row r="689" spans="3:7" ht="14.25" customHeight="1" x14ac:dyDescent="0.3">
      <c r="C689" s="1"/>
      <c r="F689" s="2"/>
      <c r="G689" s="2"/>
    </row>
    <row r="690" spans="3:7" ht="14.25" customHeight="1" x14ac:dyDescent="0.3">
      <c r="C690" s="1"/>
      <c r="F690" s="2"/>
      <c r="G690" s="2"/>
    </row>
    <row r="691" spans="3:7" ht="14.25" customHeight="1" x14ac:dyDescent="0.3">
      <c r="C691" s="1"/>
      <c r="F691" s="2"/>
      <c r="G691" s="2"/>
    </row>
    <row r="692" spans="3:7" ht="14.25" customHeight="1" x14ac:dyDescent="0.3">
      <c r="C692" s="1"/>
      <c r="F692" s="2"/>
      <c r="G692" s="2"/>
    </row>
    <row r="693" spans="3:7" ht="14.25" customHeight="1" x14ac:dyDescent="0.3">
      <c r="C693" s="1"/>
      <c r="F693" s="2"/>
      <c r="G693" s="2"/>
    </row>
    <row r="694" spans="3:7" ht="14.25" customHeight="1" x14ac:dyDescent="0.3">
      <c r="C694" s="1"/>
      <c r="F694" s="2"/>
      <c r="G694" s="2"/>
    </row>
    <row r="695" spans="3:7" ht="14.25" customHeight="1" x14ac:dyDescent="0.3">
      <c r="C695" s="1"/>
      <c r="F695" s="2"/>
      <c r="G695" s="2"/>
    </row>
    <row r="696" spans="3:7" ht="14.25" customHeight="1" x14ac:dyDescent="0.3">
      <c r="C696" s="1"/>
      <c r="F696" s="2"/>
      <c r="G696" s="2"/>
    </row>
    <row r="697" spans="3:7" ht="14.25" customHeight="1" x14ac:dyDescent="0.3">
      <c r="C697" s="1"/>
      <c r="F697" s="2"/>
      <c r="G697" s="2"/>
    </row>
    <row r="698" spans="3:7" ht="14.25" customHeight="1" x14ac:dyDescent="0.3">
      <c r="C698" s="1"/>
      <c r="F698" s="2"/>
      <c r="G698" s="2"/>
    </row>
    <row r="699" spans="3:7" ht="14.25" customHeight="1" x14ac:dyDescent="0.3">
      <c r="C699" s="1"/>
      <c r="F699" s="2"/>
      <c r="G699" s="2"/>
    </row>
    <row r="700" spans="3:7" ht="14.25" customHeight="1" x14ac:dyDescent="0.3">
      <c r="C700" s="1"/>
      <c r="F700" s="2"/>
      <c r="G700" s="2"/>
    </row>
    <row r="701" spans="3:7" ht="14.25" customHeight="1" x14ac:dyDescent="0.3">
      <c r="C701" s="1"/>
      <c r="F701" s="2"/>
      <c r="G701" s="2"/>
    </row>
    <row r="702" spans="3:7" ht="14.25" customHeight="1" x14ac:dyDescent="0.3">
      <c r="C702" s="1"/>
      <c r="F702" s="2"/>
      <c r="G702" s="2"/>
    </row>
    <row r="703" spans="3:7" ht="14.25" customHeight="1" x14ac:dyDescent="0.3">
      <c r="C703" s="1"/>
      <c r="F703" s="2"/>
      <c r="G703" s="2"/>
    </row>
    <row r="704" spans="3:7" ht="14.25" customHeight="1" x14ac:dyDescent="0.3">
      <c r="C704" s="1"/>
      <c r="F704" s="2"/>
      <c r="G704" s="2"/>
    </row>
    <row r="705" spans="3:7" ht="14.25" customHeight="1" x14ac:dyDescent="0.3">
      <c r="C705" s="1"/>
      <c r="F705" s="2"/>
      <c r="G705" s="2"/>
    </row>
    <row r="706" spans="3:7" ht="14.25" customHeight="1" x14ac:dyDescent="0.3">
      <c r="C706" s="1"/>
      <c r="F706" s="2"/>
      <c r="G706" s="2"/>
    </row>
    <row r="707" spans="3:7" ht="14.25" customHeight="1" x14ac:dyDescent="0.3">
      <c r="C707" s="1"/>
      <c r="F707" s="2"/>
      <c r="G707" s="2"/>
    </row>
    <row r="708" spans="3:7" ht="14.25" customHeight="1" x14ac:dyDescent="0.3">
      <c r="C708" s="1"/>
      <c r="F708" s="2"/>
      <c r="G708" s="2"/>
    </row>
    <row r="709" spans="3:7" ht="14.25" customHeight="1" x14ac:dyDescent="0.3">
      <c r="C709" s="1"/>
      <c r="F709" s="2"/>
      <c r="G709" s="2"/>
    </row>
    <row r="710" spans="3:7" ht="14.25" customHeight="1" x14ac:dyDescent="0.3">
      <c r="C710" s="1"/>
      <c r="F710" s="2"/>
      <c r="G710" s="2"/>
    </row>
    <row r="711" spans="3:7" ht="14.25" customHeight="1" x14ac:dyDescent="0.3">
      <c r="C711" s="1"/>
      <c r="F711" s="2"/>
      <c r="G711" s="2"/>
    </row>
    <row r="712" spans="3:7" ht="14.25" customHeight="1" x14ac:dyDescent="0.3">
      <c r="C712" s="1"/>
      <c r="F712" s="2"/>
      <c r="G712" s="2"/>
    </row>
    <row r="713" spans="3:7" ht="14.25" customHeight="1" x14ac:dyDescent="0.3">
      <c r="C713" s="1"/>
      <c r="F713" s="2"/>
      <c r="G713" s="2"/>
    </row>
    <row r="714" spans="3:7" ht="14.25" customHeight="1" x14ac:dyDescent="0.3">
      <c r="C714" s="1"/>
      <c r="F714" s="2"/>
      <c r="G714" s="2"/>
    </row>
    <row r="715" spans="3:7" ht="14.25" customHeight="1" x14ac:dyDescent="0.3">
      <c r="C715" s="1"/>
      <c r="F715" s="2"/>
      <c r="G715" s="2"/>
    </row>
    <row r="716" spans="3:7" ht="14.25" customHeight="1" x14ac:dyDescent="0.3">
      <c r="C716" s="1"/>
      <c r="F716" s="2"/>
      <c r="G716" s="2"/>
    </row>
    <row r="717" spans="3:7" ht="14.25" customHeight="1" x14ac:dyDescent="0.3">
      <c r="C717" s="1"/>
      <c r="F717" s="2"/>
      <c r="G717" s="2"/>
    </row>
    <row r="718" spans="3:7" ht="14.25" customHeight="1" x14ac:dyDescent="0.3">
      <c r="C718" s="1"/>
      <c r="F718" s="2"/>
      <c r="G718" s="2"/>
    </row>
    <row r="719" spans="3:7" ht="14.25" customHeight="1" x14ac:dyDescent="0.3">
      <c r="C719" s="1"/>
      <c r="F719" s="2"/>
      <c r="G719" s="2"/>
    </row>
    <row r="720" spans="3:7" ht="14.25" customHeight="1" x14ac:dyDescent="0.3">
      <c r="C720" s="1"/>
      <c r="F720" s="2"/>
      <c r="G720" s="2"/>
    </row>
    <row r="721" spans="3:7" ht="14.25" customHeight="1" x14ac:dyDescent="0.3">
      <c r="C721" s="1"/>
      <c r="F721" s="2"/>
      <c r="G721" s="2"/>
    </row>
    <row r="722" spans="3:7" ht="14.25" customHeight="1" x14ac:dyDescent="0.3">
      <c r="C722" s="1"/>
      <c r="F722" s="2"/>
      <c r="G722" s="2"/>
    </row>
    <row r="723" spans="3:7" ht="14.25" customHeight="1" x14ac:dyDescent="0.3">
      <c r="C723" s="1"/>
      <c r="F723" s="2"/>
      <c r="G723" s="2"/>
    </row>
    <row r="724" spans="3:7" ht="14.25" customHeight="1" x14ac:dyDescent="0.3">
      <c r="C724" s="1"/>
      <c r="F724" s="2"/>
      <c r="G724" s="2"/>
    </row>
    <row r="725" spans="3:7" ht="14.25" customHeight="1" x14ac:dyDescent="0.3">
      <c r="C725" s="1"/>
      <c r="F725" s="2"/>
      <c r="G725" s="2"/>
    </row>
    <row r="726" spans="3:7" ht="14.25" customHeight="1" x14ac:dyDescent="0.3">
      <c r="C726" s="1"/>
      <c r="F726" s="2"/>
      <c r="G726" s="2"/>
    </row>
    <row r="727" spans="3:7" ht="14.25" customHeight="1" x14ac:dyDescent="0.3">
      <c r="C727" s="1"/>
      <c r="F727" s="2"/>
      <c r="G727" s="2"/>
    </row>
    <row r="728" spans="3:7" ht="14.25" customHeight="1" x14ac:dyDescent="0.3">
      <c r="C728" s="1"/>
      <c r="F728" s="2"/>
      <c r="G728" s="2"/>
    </row>
    <row r="729" spans="3:7" ht="14.25" customHeight="1" x14ac:dyDescent="0.3">
      <c r="C729" s="1"/>
      <c r="F729" s="2"/>
      <c r="G729" s="2"/>
    </row>
    <row r="730" spans="3:7" ht="14.25" customHeight="1" x14ac:dyDescent="0.3">
      <c r="C730" s="1"/>
      <c r="F730" s="2"/>
      <c r="G730" s="2"/>
    </row>
    <row r="731" spans="3:7" ht="14.25" customHeight="1" x14ac:dyDescent="0.3">
      <c r="C731" s="1"/>
      <c r="F731" s="2"/>
      <c r="G731" s="2"/>
    </row>
    <row r="732" spans="3:7" ht="14.25" customHeight="1" x14ac:dyDescent="0.3">
      <c r="C732" s="1"/>
      <c r="F732" s="2"/>
      <c r="G732" s="2"/>
    </row>
    <row r="733" spans="3:7" ht="14.25" customHeight="1" x14ac:dyDescent="0.3">
      <c r="C733" s="1"/>
      <c r="F733" s="2"/>
      <c r="G733" s="2"/>
    </row>
    <row r="734" spans="3:7" ht="14.25" customHeight="1" x14ac:dyDescent="0.3">
      <c r="C734" s="1"/>
      <c r="F734" s="2"/>
      <c r="G734" s="2"/>
    </row>
    <row r="735" spans="3:7" ht="14.25" customHeight="1" x14ac:dyDescent="0.3">
      <c r="C735" s="1"/>
      <c r="F735" s="2"/>
      <c r="G735" s="2"/>
    </row>
    <row r="736" spans="3:7" ht="14.25" customHeight="1" x14ac:dyDescent="0.3">
      <c r="C736" s="1"/>
      <c r="F736" s="2"/>
      <c r="G736" s="2"/>
    </row>
    <row r="737" spans="3:7" ht="14.25" customHeight="1" x14ac:dyDescent="0.3">
      <c r="C737" s="1"/>
      <c r="F737" s="2"/>
      <c r="G737" s="2"/>
    </row>
    <row r="738" spans="3:7" ht="14.25" customHeight="1" x14ac:dyDescent="0.3">
      <c r="C738" s="1"/>
      <c r="F738" s="2"/>
      <c r="G738" s="2"/>
    </row>
    <row r="739" spans="3:7" ht="14.25" customHeight="1" x14ac:dyDescent="0.3">
      <c r="C739" s="1"/>
      <c r="F739" s="2"/>
      <c r="G739" s="2"/>
    </row>
    <row r="740" spans="3:7" ht="14.25" customHeight="1" x14ac:dyDescent="0.3">
      <c r="C740" s="1"/>
      <c r="F740" s="2"/>
      <c r="G740" s="2"/>
    </row>
    <row r="741" spans="3:7" ht="14.25" customHeight="1" x14ac:dyDescent="0.3">
      <c r="C741" s="1"/>
      <c r="F741" s="2"/>
      <c r="G741" s="2"/>
    </row>
    <row r="742" spans="3:7" ht="14.25" customHeight="1" x14ac:dyDescent="0.3">
      <c r="C742" s="1"/>
      <c r="F742" s="2"/>
      <c r="G742" s="2"/>
    </row>
    <row r="743" spans="3:7" ht="14.25" customHeight="1" x14ac:dyDescent="0.3">
      <c r="C743" s="1"/>
      <c r="F743" s="2"/>
      <c r="G743" s="2"/>
    </row>
    <row r="744" spans="3:7" ht="14.25" customHeight="1" x14ac:dyDescent="0.3">
      <c r="C744" s="1"/>
      <c r="F744" s="2"/>
      <c r="G744" s="2"/>
    </row>
    <row r="745" spans="3:7" ht="14.25" customHeight="1" x14ac:dyDescent="0.3">
      <c r="C745" s="1"/>
      <c r="F745" s="2"/>
      <c r="G745" s="2"/>
    </row>
    <row r="746" spans="3:7" ht="14.25" customHeight="1" x14ac:dyDescent="0.3">
      <c r="C746" s="1"/>
      <c r="F746" s="2"/>
      <c r="G746" s="2"/>
    </row>
    <row r="747" spans="3:7" ht="14.25" customHeight="1" x14ac:dyDescent="0.3">
      <c r="C747" s="1"/>
      <c r="F747" s="2"/>
      <c r="G747" s="2"/>
    </row>
    <row r="748" spans="3:7" ht="14.25" customHeight="1" x14ac:dyDescent="0.3">
      <c r="C748" s="1"/>
      <c r="F748" s="2"/>
      <c r="G748" s="2"/>
    </row>
    <row r="749" spans="3:7" ht="14.25" customHeight="1" x14ac:dyDescent="0.3">
      <c r="C749" s="1"/>
      <c r="F749" s="2"/>
      <c r="G749" s="2"/>
    </row>
    <row r="750" spans="3:7" ht="14.25" customHeight="1" x14ac:dyDescent="0.3">
      <c r="C750" s="1"/>
      <c r="F750" s="2"/>
      <c r="G750" s="2"/>
    </row>
    <row r="751" spans="3:7" ht="14.25" customHeight="1" x14ac:dyDescent="0.3">
      <c r="C751" s="1"/>
      <c r="F751" s="2"/>
      <c r="G751" s="2"/>
    </row>
    <row r="752" spans="3:7" ht="14.25" customHeight="1" x14ac:dyDescent="0.3">
      <c r="C752" s="1"/>
      <c r="F752" s="2"/>
      <c r="G752" s="2"/>
    </row>
    <row r="753" spans="3:7" ht="14.25" customHeight="1" x14ac:dyDescent="0.3">
      <c r="C753" s="1"/>
      <c r="F753" s="2"/>
      <c r="G753" s="2"/>
    </row>
    <row r="754" spans="3:7" ht="14.25" customHeight="1" x14ac:dyDescent="0.3">
      <c r="C754" s="1"/>
      <c r="F754" s="2"/>
      <c r="G754" s="2"/>
    </row>
    <row r="755" spans="3:7" ht="14.25" customHeight="1" x14ac:dyDescent="0.3">
      <c r="C755" s="1"/>
      <c r="F755" s="2"/>
      <c r="G755" s="2"/>
    </row>
    <row r="756" spans="3:7" ht="14.25" customHeight="1" x14ac:dyDescent="0.3">
      <c r="C756" s="1"/>
      <c r="F756" s="2"/>
      <c r="G756" s="2"/>
    </row>
    <row r="757" spans="3:7" ht="14.25" customHeight="1" x14ac:dyDescent="0.3">
      <c r="C757" s="1"/>
      <c r="F757" s="2"/>
      <c r="G757" s="2"/>
    </row>
    <row r="758" spans="3:7" ht="14.25" customHeight="1" x14ac:dyDescent="0.3">
      <c r="C758" s="1"/>
      <c r="F758" s="2"/>
      <c r="G758" s="2"/>
    </row>
    <row r="759" spans="3:7" ht="14.25" customHeight="1" x14ac:dyDescent="0.3">
      <c r="C759" s="1"/>
      <c r="F759" s="2"/>
      <c r="G759" s="2"/>
    </row>
    <row r="760" spans="3:7" ht="14.25" customHeight="1" x14ac:dyDescent="0.3">
      <c r="C760" s="1"/>
      <c r="F760" s="2"/>
      <c r="G760" s="2"/>
    </row>
    <row r="761" spans="3:7" ht="14.25" customHeight="1" x14ac:dyDescent="0.3">
      <c r="C761" s="1"/>
      <c r="F761" s="2"/>
      <c r="G761" s="2"/>
    </row>
    <row r="762" spans="3:7" ht="14.25" customHeight="1" x14ac:dyDescent="0.3">
      <c r="C762" s="1"/>
      <c r="F762" s="2"/>
      <c r="G762" s="2"/>
    </row>
    <row r="763" spans="3:7" ht="14.25" customHeight="1" x14ac:dyDescent="0.3">
      <c r="C763" s="1"/>
      <c r="F763" s="2"/>
      <c r="G763" s="2"/>
    </row>
    <row r="764" spans="3:7" ht="14.25" customHeight="1" x14ac:dyDescent="0.3">
      <c r="C764" s="1"/>
      <c r="F764" s="2"/>
      <c r="G764" s="2"/>
    </row>
    <row r="765" spans="3:7" ht="14.25" customHeight="1" x14ac:dyDescent="0.3">
      <c r="C765" s="1"/>
      <c r="F765" s="2"/>
      <c r="G765" s="2"/>
    </row>
    <row r="766" spans="3:7" ht="14.25" customHeight="1" x14ac:dyDescent="0.3">
      <c r="C766" s="1"/>
      <c r="F766" s="2"/>
      <c r="G766" s="2"/>
    </row>
    <row r="767" spans="3:7" ht="14.25" customHeight="1" x14ac:dyDescent="0.3">
      <c r="C767" s="1"/>
      <c r="F767" s="2"/>
      <c r="G767" s="2"/>
    </row>
    <row r="768" spans="3:7" ht="14.25" customHeight="1" x14ac:dyDescent="0.3">
      <c r="C768" s="1"/>
      <c r="F768" s="2"/>
      <c r="G768" s="2"/>
    </row>
    <row r="769" spans="3:7" ht="14.25" customHeight="1" x14ac:dyDescent="0.3">
      <c r="C769" s="1"/>
      <c r="F769" s="2"/>
      <c r="G769" s="2"/>
    </row>
    <row r="770" spans="3:7" ht="14.25" customHeight="1" x14ac:dyDescent="0.3">
      <c r="C770" s="1"/>
      <c r="F770" s="2"/>
      <c r="G770" s="2"/>
    </row>
    <row r="771" spans="3:7" ht="14.25" customHeight="1" x14ac:dyDescent="0.3">
      <c r="C771" s="1"/>
      <c r="F771" s="2"/>
      <c r="G771" s="2"/>
    </row>
    <row r="772" spans="3:7" ht="14.25" customHeight="1" x14ac:dyDescent="0.3">
      <c r="C772" s="1"/>
      <c r="F772" s="2"/>
      <c r="G772" s="2"/>
    </row>
    <row r="773" spans="3:7" ht="14.25" customHeight="1" x14ac:dyDescent="0.3">
      <c r="C773" s="1"/>
      <c r="F773" s="2"/>
      <c r="G773" s="2"/>
    </row>
    <row r="774" spans="3:7" ht="14.25" customHeight="1" x14ac:dyDescent="0.3">
      <c r="C774" s="1"/>
      <c r="F774" s="2"/>
      <c r="G774" s="2"/>
    </row>
    <row r="775" spans="3:7" ht="14.25" customHeight="1" x14ac:dyDescent="0.3">
      <c r="C775" s="1"/>
      <c r="F775" s="2"/>
      <c r="G775" s="2"/>
    </row>
    <row r="776" spans="3:7" ht="14.25" customHeight="1" x14ac:dyDescent="0.3">
      <c r="C776" s="1"/>
      <c r="F776" s="2"/>
      <c r="G776" s="2"/>
    </row>
    <row r="777" spans="3:7" ht="14.25" customHeight="1" x14ac:dyDescent="0.3">
      <c r="C777" s="1"/>
      <c r="F777" s="2"/>
      <c r="G777" s="2"/>
    </row>
    <row r="778" spans="3:7" ht="14.25" customHeight="1" x14ac:dyDescent="0.3">
      <c r="C778" s="1"/>
      <c r="F778" s="2"/>
      <c r="G778" s="2"/>
    </row>
    <row r="779" spans="3:7" ht="14.25" customHeight="1" x14ac:dyDescent="0.3">
      <c r="C779" s="1"/>
      <c r="F779" s="2"/>
      <c r="G779" s="2"/>
    </row>
    <row r="780" spans="3:7" ht="14.25" customHeight="1" x14ac:dyDescent="0.3">
      <c r="C780" s="1"/>
      <c r="F780" s="2"/>
      <c r="G780" s="2"/>
    </row>
    <row r="781" spans="3:7" ht="14.25" customHeight="1" x14ac:dyDescent="0.3">
      <c r="C781" s="1"/>
      <c r="F781" s="2"/>
      <c r="G781" s="2"/>
    </row>
    <row r="782" spans="3:7" ht="14.25" customHeight="1" x14ac:dyDescent="0.3">
      <c r="C782" s="1"/>
      <c r="F782" s="2"/>
      <c r="G782" s="2"/>
    </row>
    <row r="783" spans="3:7" ht="14.25" customHeight="1" x14ac:dyDescent="0.3">
      <c r="C783" s="1"/>
      <c r="F783" s="2"/>
      <c r="G783" s="2"/>
    </row>
    <row r="784" spans="3:7" ht="14.25" customHeight="1" x14ac:dyDescent="0.3">
      <c r="C784" s="1"/>
      <c r="F784" s="2"/>
      <c r="G784" s="2"/>
    </row>
    <row r="785" spans="3:7" ht="14.25" customHeight="1" x14ac:dyDescent="0.3">
      <c r="C785" s="1"/>
      <c r="F785" s="2"/>
      <c r="G785" s="2"/>
    </row>
    <row r="786" spans="3:7" ht="14.25" customHeight="1" x14ac:dyDescent="0.3">
      <c r="C786" s="1"/>
      <c r="F786" s="2"/>
      <c r="G786" s="2"/>
    </row>
    <row r="787" spans="3:7" ht="14.25" customHeight="1" x14ac:dyDescent="0.3">
      <c r="C787" s="1"/>
      <c r="F787" s="2"/>
      <c r="G787" s="2"/>
    </row>
    <row r="788" spans="3:7" ht="14.25" customHeight="1" x14ac:dyDescent="0.3">
      <c r="C788" s="1"/>
      <c r="F788" s="2"/>
      <c r="G788" s="2"/>
    </row>
    <row r="789" spans="3:7" ht="14.25" customHeight="1" x14ac:dyDescent="0.3">
      <c r="C789" s="1"/>
      <c r="F789" s="2"/>
      <c r="G789" s="2"/>
    </row>
    <row r="790" spans="3:7" ht="14.25" customHeight="1" x14ac:dyDescent="0.3">
      <c r="C790" s="1"/>
      <c r="F790" s="2"/>
      <c r="G790" s="2"/>
    </row>
    <row r="791" spans="3:7" ht="14.25" customHeight="1" x14ac:dyDescent="0.3">
      <c r="C791" s="1"/>
      <c r="F791" s="2"/>
      <c r="G791" s="2"/>
    </row>
    <row r="792" spans="3:7" ht="14.25" customHeight="1" x14ac:dyDescent="0.3">
      <c r="C792" s="1"/>
      <c r="F792" s="2"/>
      <c r="G792" s="2"/>
    </row>
    <row r="793" spans="3:7" ht="14.25" customHeight="1" x14ac:dyDescent="0.3">
      <c r="C793" s="1"/>
      <c r="F793" s="2"/>
      <c r="G793" s="2"/>
    </row>
    <row r="794" spans="3:7" ht="14.25" customHeight="1" x14ac:dyDescent="0.3">
      <c r="C794" s="1"/>
      <c r="F794" s="2"/>
      <c r="G794" s="2"/>
    </row>
    <row r="795" spans="3:7" ht="14.25" customHeight="1" x14ac:dyDescent="0.3">
      <c r="C795" s="1"/>
      <c r="F795" s="2"/>
      <c r="G795" s="2"/>
    </row>
    <row r="796" spans="3:7" ht="14.25" customHeight="1" x14ac:dyDescent="0.3">
      <c r="C796" s="1"/>
      <c r="F796" s="2"/>
      <c r="G796" s="2"/>
    </row>
    <row r="797" spans="3:7" ht="14.25" customHeight="1" x14ac:dyDescent="0.3">
      <c r="C797" s="1"/>
      <c r="F797" s="2"/>
      <c r="G797" s="2"/>
    </row>
    <row r="798" spans="3:7" ht="14.25" customHeight="1" x14ac:dyDescent="0.3">
      <c r="C798" s="1"/>
      <c r="F798" s="2"/>
      <c r="G798" s="2"/>
    </row>
    <row r="799" spans="3:7" ht="14.25" customHeight="1" x14ac:dyDescent="0.3">
      <c r="C799" s="1"/>
      <c r="F799" s="2"/>
      <c r="G799" s="2"/>
    </row>
    <row r="800" spans="3:7" ht="14.25" customHeight="1" x14ac:dyDescent="0.3">
      <c r="C800" s="1"/>
      <c r="F800" s="2"/>
      <c r="G800" s="2"/>
    </row>
    <row r="801" spans="3:7" ht="14.25" customHeight="1" x14ac:dyDescent="0.3">
      <c r="C801" s="1"/>
      <c r="F801" s="2"/>
      <c r="G801" s="2"/>
    </row>
    <row r="802" spans="3:7" ht="14.25" customHeight="1" x14ac:dyDescent="0.3">
      <c r="C802" s="1"/>
      <c r="F802" s="2"/>
      <c r="G802" s="2"/>
    </row>
    <row r="803" spans="3:7" ht="14.25" customHeight="1" x14ac:dyDescent="0.3">
      <c r="C803" s="1"/>
      <c r="F803" s="2"/>
      <c r="G803" s="2"/>
    </row>
    <row r="804" spans="3:7" ht="14.25" customHeight="1" x14ac:dyDescent="0.3">
      <c r="C804" s="1"/>
      <c r="F804" s="2"/>
      <c r="G804" s="2"/>
    </row>
    <row r="805" spans="3:7" ht="14.25" customHeight="1" x14ac:dyDescent="0.3">
      <c r="C805" s="1"/>
      <c r="F805" s="2"/>
      <c r="G805" s="2"/>
    </row>
    <row r="806" spans="3:7" ht="14.25" customHeight="1" x14ac:dyDescent="0.3">
      <c r="C806" s="1"/>
      <c r="F806" s="2"/>
      <c r="G806" s="2"/>
    </row>
    <row r="807" spans="3:7" ht="14.25" customHeight="1" x14ac:dyDescent="0.3">
      <c r="C807" s="1"/>
      <c r="F807" s="2"/>
      <c r="G807" s="2"/>
    </row>
    <row r="808" spans="3:7" ht="14.25" customHeight="1" x14ac:dyDescent="0.3">
      <c r="C808" s="1"/>
      <c r="F808" s="2"/>
      <c r="G808" s="2"/>
    </row>
    <row r="809" spans="3:7" ht="14.25" customHeight="1" x14ac:dyDescent="0.3">
      <c r="C809" s="1"/>
      <c r="F809" s="2"/>
      <c r="G809" s="2"/>
    </row>
    <row r="810" spans="3:7" ht="14.25" customHeight="1" x14ac:dyDescent="0.3">
      <c r="C810" s="1"/>
      <c r="F810" s="2"/>
      <c r="G810" s="2"/>
    </row>
    <row r="811" spans="3:7" ht="14.25" customHeight="1" x14ac:dyDescent="0.3">
      <c r="C811" s="1"/>
      <c r="F811" s="2"/>
      <c r="G811" s="2"/>
    </row>
    <row r="812" spans="3:7" ht="14.25" customHeight="1" x14ac:dyDescent="0.3">
      <c r="C812" s="1"/>
      <c r="F812" s="2"/>
      <c r="G812" s="2"/>
    </row>
    <row r="813" spans="3:7" ht="14.25" customHeight="1" x14ac:dyDescent="0.3">
      <c r="C813" s="1"/>
      <c r="F813" s="2"/>
      <c r="G813" s="2"/>
    </row>
    <row r="814" spans="3:7" ht="14.25" customHeight="1" x14ac:dyDescent="0.3">
      <c r="C814" s="1"/>
      <c r="F814" s="2"/>
      <c r="G814" s="2"/>
    </row>
    <row r="815" spans="3:7" ht="14.25" customHeight="1" x14ac:dyDescent="0.3">
      <c r="C815" s="1"/>
      <c r="F815" s="2"/>
      <c r="G815" s="2"/>
    </row>
    <row r="816" spans="3:7" ht="14.25" customHeight="1" x14ac:dyDescent="0.3">
      <c r="C816" s="1"/>
      <c r="F816" s="2"/>
      <c r="G816" s="2"/>
    </row>
    <row r="817" spans="3:7" ht="14.25" customHeight="1" x14ac:dyDescent="0.3">
      <c r="C817" s="1"/>
      <c r="F817" s="2"/>
      <c r="G817" s="2"/>
    </row>
    <row r="818" spans="3:7" ht="14.25" customHeight="1" x14ac:dyDescent="0.3">
      <c r="C818" s="1"/>
      <c r="F818" s="2"/>
      <c r="G818" s="2"/>
    </row>
    <row r="819" spans="3:7" ht="14.25" customHeight="1" x14ac:dyDescent="0.3">
      <c r="C819" s="1"/>
      <c r="F819" s="2"/>
      <c r="G819" s="2"/>
    </row>
    <row r="820" spans="3:7" ht="14.25" customHeight="1" x14ac:dyDescent="0.3">
      <c r="C820" s="1"/>
      <c r="F820" s="2"/>
      <c r="G820" s="2"/>
    </row>
    <row r="821" spans="3:7" ht="14.25" customHeight="1" x14ac:dyDescent="0.3">
      <c r="C821" s="1"/>
      <c r="F821" s="2"/>
      <c r="G821" s="2"/>
    </row>
    <row r="822" spans="3:7" ht="14.25" customHeight="1" x14ac:dyDescent="0.3">
      <c r="C822" s="1"/>
      <c r="F822" s="2"/>
      <c r="G822" s="2"/>
    </row>
    <row r="823" spans="3:7" ht="14.25" customHeight="1" x14ac:dyDescent="0.3">
      <c r="C823" s="1"/>
      <c r="F823" s="2"/>
      <c r="G823" s="2"/>
    </row>
    <row r="824" spans="3:7" ht="14.25" customHeight="1" x14ac:dyDescent="0.3">
      <c r="C824" s="1"/>
      <c r="F824" s="2"/>
      <c r="G824" s="2"/>
    </row>
    <row r="825" spans="3:7" ht="14.25" customHeight="1" x14ac:dyDescent="0.3">
      <c r="C825" s="1"/>
      <c r="F825" s="2"/>
      <c r="G825" s="2"/>
    </row>
    <row r="826" spans="3:7" ht="14.25" customHeight="1" x14ac:dyDescent="0.3">
      <c r="C826" s="1"/>
      <c r="F826" s="2"/>
      <c r="G826" s="2"/>
    </row>
    <row r="827" spans="3:7" ht="14.25" customHeight="1" x14ac:dyDescent="0.3">
      <c r="C827" s="1"/>
      <c r="F827" s="2"/>
      <c r="G827" s="2"/>
    </row>
    <row r="828" spans="3:7" ht="14.25" customHeight="1" x14ac:dyDescent="0.3">
      <c r="C828" s="1"/>
      <c r="F828" s="2"/>
      <c r="G828" s="2"/>
    </row>
    <row r="829" spans="3:7" ht="14.25" customHeight="1" x14ac:dyDescent="0.3">
      <c r="C829" s="1"/>
      <c r="F829" s="2"/>
      <c r="G829" s="2"/>
    </row>
    <row r="830" spans="3:7" ht="14.25" customHeight="1" x14ac:dyDescent="0.3">
      <c r="C830" s="1"/>
      <c r="F830" s="2"/>
      <c r="G830" s="2"/>
    </row>
    <row r="831" spans="3:7" ht="14.25" customHeight="1" x14ac:dyDescent="0.3">
      <c r="C831" s="1"/>
      <c r="F831" s="2"/>
      <c r="G831" s="2"/>
    </row>
    <row r="832" spans="3:7" ht="14.25" customHeight="1" x14ac:dyDescent="0.3">
      <c r="C832" s="1"/>
      <c r="F832" s="2"/>
      <c r="G832" s="2"/>
    </row>
    <row r="833" spans="3:7" ht="14.25" customHeight="1" x14ac:dyDescent="0.3">
      <c r="C833" s="1"/>
      <c r="F833" s="2"/>
      <c r="G833" s="2"/>
    </row>
    <row r="834" spans="3:7" ht="14.25" customHeight="1" x14ac:dyDescent="0.3">
      <c r="C834" s="1"/>
      <c r="F834" s="2"/>
      <c r="G834" s="2"/>
    </row>
    <row r="835" spans="3:7" ht="14.25" customHeight="1" x14ac:dyDescent="0.3">
      <c r="C835" s="1"/>
      <c r="F835" s="2"/>
      <c r="G835" s="2"/>
    </row>
    <row r="836" spans="3:7" ht="14.25" customHeight="1" x14ac:dyDescent="0.3">
      <c r="C836" s="1"/>
      <c r="F836" s="2"/>
      <c r="G836" s="2"/>
    </row>
    <row r="837" spans="3:7" ht="14.25" customHeight="1" x14ac:dyDescent="0.3">
      <c r="C837" s="1"/>
      <c r="F837" s="2"/>
      <c r="G837" s="2"/>
    </row>
    <row r="838" spans="3:7" ht="14.25" customHeight="1" x14ac:dyDescent="0.3">
      <c r="C838" s="1"/>
      <c r="F838" s="2"/>
      <c r="G838" s="2"/>
    </row>
    <row r="839" spans="3:7" ht="14.25" customHeight="1" x14ac:dyDescent="0.3">
      <c r="C839" s="1"/>
      <c r="F839" s="2"/>
      <c r="G839" s="2"/>
    </row>
    <row r="840" spans="3:7" ht="14.25" customHeight="1" x14ac:dyDescent="0.3">
      <c r="C840" s="1"/>
      <c r="F840" s="2"/>
      <c r="G840" s="2"/>
    </row>
    <row r="841" spans="3:7" ht="14.25" customHeight="1" x14ac:dyDescent="0.3">
      <c r="C841" s="1"/>
      <c r="F841" s="2"/>
      <c r="G841" s="2"/>
    </row>
    <row r="842" spans="3:7" ht="14.25" customHeight="1" x14ac:dyDescent="0.3">
      <c r="C842" s="1"/>
      <c r="F842" s="2"/>
      <c r="G842" s="2"/>
    </row>
    <row r="843" spans="3:7" ht="14.25" customHeight="1" x14ac:dyDescent="0.3">
      <c r="C843" s="1"/>
      <c r="F843" s="2"/>
      <c r="G843" s="2"/>
    </row>
    <row r="844" spans="3:7" ht="14.25" customHeight="1" x14ac:dyDescent="0.3">
      <c r="C844" s="1"/>
      <c r="F844" s="2"/>
      <c r="G844" s="2"/>
    </row>
    <row r="845" spans="3:7" ht="14.25" customHeight="1" x14ac:dyDescent="0.3">
      <c r="C845" s="1"/>
      <c r="F845" s="2"/>
      <c r="G845" s="2"/>
    </row>
    <row r="846" spans="3:7" ht="14.25" customHeight="1" x14ac:dyDescent="0.3">
      <c r="C846" s="1"/>
      <c r="F846" s="2"/>
      <c r="G846" s="2"/>
    </row>
    <row r="847" spans="3:7" ht="14.25" customHeight="1" x14ac:dyDescent="0.3">
      <c r="C847" s="1"/>
      <c r="F847" s="2"/>
      <c r="G847" s="2"/>
    </row>
    <row r="848" spans="3:7" ht="14.25" customHeight="1" x14ac:dyDescent="0.3">
      <c r="C848" s="1"/>
      <c r="F848" s="2"/>
      <c r="G848" s="2"/>
    </row>
    <row r="849" spans="3:7" ht="14.25" customHeight="1" x14ac:dyDescent="0.3">
      <c r="C849" s="1"/>
      <c r="F849" s="2"/>
      <c r="G849" s="2"/>
    </row>
    <row r="850" spans="3:7" ht="14.25" customHeight="1" x14ac:dyDescent="0.3">
      <c r="C850" s="1"/>
      <c r="F850" s="2"/>
      <c r="G850" s="2"/>
    </row>
    <row r="851" spans="3:7" ht="14.25" customHeight="1" x14ac:dyDescent="0.3">
      <c r="C851" s="1"/>
      <c r="F851" s="2"/>
      <c r="G851" s="2"/>
    </row>
    <row r="852" spans="3:7" ht="14.25" customHeight="1" x14ac:dyDescent="0.3">
      <c r="C852" s="1"/>
      <c r="F852" s="2"/>
      <c r="G852" s="2"/>
    </row>
    <row r="853" spans="3:7" ht="14.25" customHeight="1" x14ac:dyDescent="0.3">
      <c r="C853" s="1"/>
      <c r="F853" s="2"/>
      <c r="G853" s="2"/>
    </row>
    <row r="854" spans="3:7" ht="14.25" customHeight="1" x14ac:dyDescent="0.3">
      <c r="C854" s="1"/>
      <c r="F854" s="2"/>
      <c r="G854" s="2"/>
    </row>
    <row r="855" spans="3:7" ht="14.25" customHeight="1" x14ac:dyDescent="0.3">
      <c r="C855" s="1"/>
      <c r="F855" s="2"/>
      <c r="G855" s="2"/>
    </row>
    <row r="856" spans="3:7" ht="14.25" customHeight="1" x14ac:dyDescent="0.3">
      <c r="C856" s="1"/>
      <c r="F856" s="2"/>
      <c r="G856" s="2"/>
    </row>
    <row r="857" spans="3:7" ht="14.25" customHeight="1" x14ac:dyDescent="0.3">
      <c r="C857" s="1"/>
      <c r="F857" s="2"/>
      <c r="G857" s="2"/>
    </row>
    <row r="858" spans="3:7" ht="14.25" customHeight="1" x14ac:dyDescent="0.3">
      <c r="C858" s="1"/>
      <c r="F858" s="2"/>
      <c r="G858" s="2"/>
    </row>
    <row r="859" spans="3:7" ht="14.25" customHeight="1" x14ac:dyDescent="0.3">
      <c r="C859" s="1"/>
      <c r="F859" s="2"/>
      <c r="G859" s="2"/>
    </row>
    <row r="860" spans="3:7" ht="14.25" customHeight="1" x14ac:dyDescent="0.3">
      <c r="C860" s="1"/>
      <c r="F860" s="2"/>
      <c r="G860" s="2"/>
    </row>
    <row r="861" spans="3:7" ht="14.25" customHeight="1" x14ac:dyDescent="0.3">
      <c r="C861" s="1"/>
      <c r="F861" s="2"/>
      <c r="G861" s="2"/>
    </row>
    <row r="862" spans="3:7" ht="14.25" customHeight="1" x14ac:dyDescent="0.3">
      <c r="C862" s="1"/>
      <c r="F862" s="2"/>
      <c r="G862" s="2"/>
    </row>
    <row r="863" spans="3:7" ht="14.25" customHeight="1" x14ac:dyDescent="0.3">
      <c r="C863" s="1"/>
      <c r="F863" s="2"/>
      <c r="G863" s="2"/>
    </row>
    <row r="864" spans="3:7" ht="14.25" customHeight="1" x14ac:dyDescent="0.3">
      <c r="C864" s="1"/>
      <c r="F864" s="2"/>
      <c r="G864" s="2"/>
    </row>
    <row r="865" spans="3:7" ht="14.25" customHeight="1" x14ac:dyDescent="0.3">
      <c r="C865" s="1"/>
      <c r="F865" s="2"/>
      <c r="G865" s="2"/>
    </row>
    <row r="866" spans="3:7" ht="14.25" customHeight="1" x14ac:dyDescent="0.3">
      <c r="C866" s="1"/>
      <c r="F866" s="2"/>
      <c r="G866" s="2"/>
    </row>
    <row r="867" spans="3:7" ht="14.25" customHeight="1" x14ac:dyDescent="0.3">
      <c r="C867" s="1"/>
      <c r="F867" s="2"/>
      <c r="G867" s="2"/>
    </row>
    <row r="868" spans="3:7" ht="14.25" customHeight="1" x14ac:dyDescent="0.3">
      <c r="C868" s="1"/>
      <c r="F868" s="2"/>
      <c r="G868" s="2"/>
    </row>
    <row r="869" spans="3:7" ht="14.25" customHeight="1" x14ac:dyDescent="0.3">
      <c r="C869" s="1"/>
      <c r="F869" s="2"/>
      <c r="G869" s="2"/>
    </row>
    <row r="870" spans="3:7" ht="14.25" customHeight="1" x14ac:dyDescent="0.3">
      <c r="C870" s="1"/>
      <c r="F870" s="2"/>
      <c r="G870" s="2"/>
    </row>
    <row r="871" spans="3:7" ht="14.25" customHeight="1" x14ac:dyDescent="0.3">
      <c r="C871" s="1"/>
      <c r="F871" s="2"/>
      <c r="G871" s="2"/>
    </row>
    <row r="872" spans="3:7" ht="14.25" customHeight="1" x14ac:dyDescent="0.3">
      <c r="C872" s="1"/>
      <c r="F872" s="2"/>
      <c r="G872" s="2"/>
    </row>
    <row r="873" spans="3:7" ht="14.25" customHeight="1" x14ac:dyDescent="0.3">
      <c r="C873" s="1"/>
      <c r="F873" s="2"/>
      <c r="G873" s="2"/>
    </row>
    <row r="874" spans="3:7" ht="14.25" customHeight="1" x14ac:dyDescent="0.3">
      <c r="C874" s="1"/>
      <c r="F874" s="2"/>
      <c r="G874" s="2"/>
    </row>
    <row r="875" spans="3:7" ht="14.25" customHeight="1" x14ac:dyDescent="0.3">
      <c r="C875" s="1"/>
      <c r="F875" s="2"/>
      <c r="G875" s="2"/>
    </row>
    <row r="876" spans="3:7" ht="14.25" customHeight="1" x14ac:dyDescent="0.3">
      <c r="C876" s="1"/>
      <c r="F876" s="2"/>
      <c r="G876" s="2"/>
    </row>
    <row r="877" spans="3:7" ht="14.25" customHeight="1" x14ac:dyDescent="0.3">
      <c r="C877" s="1"/>
      <c r="F877" s="2"/>
      <c r="G877" s="2"/>
    </row>
    <row r="878" spans="3:7" ht="14.25" customHeight="1" x14ac:dyDescent="0.3">
      <c r="C878" s="1"/>
      <c r="F878" s="2"/>
      <c r="G878" s="2"/>
    </row>
    <row r="879" spans="3:7" ht="14.25" customHeight="1" x14ac:dyDescent="0.3">
      <c r="C879" s="1"/>
      <c r="F879" s="2"/>
      <c r="G879" s="2"/>
    </row>
    <row r="880" spans="3:7" ht="14.25" customHeight="1" x14ac:dyDescent="0.3">
      <c r="C880" s="1"/>
      <c r="F880" s="2"/>
      <c r="G880" s="2"/>
    </row>
    <row r="881" spans="3:7" ht="14.25" customHeight="1" x14ac:dyDescent="0.3">
      <c r="C881" s="1"/>
      <c r="F881" s="2"/>
      <c r="G881" s="2"/>
    </row>
    <row r="882" spans="3:7" ht="14.25" customHeight="1" x14ac:dyDescent="0.3">
      <c r="C882" s="1"/>
      <c r="F882" s="2"/>
      <c r="G882" s="2"/>
    </row>
    <row r="883" spans="3:7" ht="14.25" customHeight="1" x14ac:dyDescent="0.3">
      <c r="C883" s="1"/>
      <c r="F883" s="2"/>
      <c r="G883" s="2"/>
    </row>
    <row r="884" spans="3:7" ht="14.25" customHeight="1" x14ac:dyDescent="0.3">
      <c r="C884" s="1"/>
      <c r="F884" s="2"/>
      <c r="G884" s="2"/>
    </row>
    <row r="885" spans="3:7" ht="14.25" customHeight="1" x14ac:dyDescent="0.3">
      <c r="C885" s="1"/>
      <c r="F885" s="2"/>
      <c r="G885" s="2"/>
    </row>
    <row r="886" spans="3:7" ht="14.25" customHeight="1" x14ac:dyDescent="0.3">
      <c r="C886" s="1"/>
      <c r="F886" s="2"/>
      <c r="G886" s="2"/>
    </row>
    <row r="887" spans="3:7" ht="14.25" customHeight="1" x14ac:dyDescent="0.3">
      <c r="C887" s="1"/>
      <c r="F887" s="2"/>
      <c r="G887" s="2"/>
    </row>
    <row r="888" spans="3:7" ht="14.25" customHeight="1" x14ac:dyDescent="0.3">
      <c r="C888" s="1"/>
      <c r="F888" s="2"/>
      <c r="G888" s="2"/>
    </row>
    <row r="889" spans="3:7" ht="14.25" customHeight="1" x14ac:dyDescent="0.3">
      <c r="C889" s="1"/>
      <c r="F889" s="2"/>
      <c r="G889" s="2"/>
    </row>
    <row r="890" spans="3:7" ht="14.25" customHeight="1" x14ac:dyDescent="0.3">
      <c r="C890" s="1"/>
      <c r="F890" s="2"/>
      <c r="G890" s="2"/>
    </row>
    <row r="891" spans="3:7" ht="14.25" customHeight="1" x14ac:dyDescent="0.3">
      <c r="C891" s="1"/>
      <c r="F891" s="2"/>
      <c r="G891" s="2"/>
    </row>
    <row r="892" spans="3:7" ht="14.25" customHeight="1" x14ac:dyDescent="0.3">
      <c r="C892" s="1"/>
      <c r="F892" s="2"/>
      <c r="G892" s="2"/>
    </row>
    <row r="893" spans="3:7" ht="14.25" customHeight="1" x14ac:dyDescent="0.3">
      <c r="C893" s="1"/>
      <c r="F893" s="2"/>
      <c r="G893" s="2"/>
    </row>
    <row r="894" spans="3:7" ht="14.25" customHeight="1" x14ac:dyDescent="0.3">
      <c r="C894" s="1"/>
      <c r="F894" s="2"/>
      <c r="G894" s="2"/>
    </row>
    <row r="895" spans="3:7" ht="14.25" customHeight="1" x14ac:dyDescent="0.3">
      <c r="C895" s="1"/>
      <c r="F895" s="2"/>
      <c r="G895" s="2"/>
    </row>
    <row r="896" spans="3:7" ht="14.25" customHeight="1" x14ac:dyDescent="0.3">
      <c r="C896" s="1"/>
      <c r="F896" s="2"/>
      <c r="G896" s="2"/>
    </row>
    <row r="897" spans="3:7" ht="14.25" customHeight="1" x14ac:dyDescent="0.3">
      <c r="C897" s="1"/>
      <c r="F897" s="2"/>
      <c r="G897" s="2"/>
    </row>
    <row r="898" spans="3:7" ht="14.25" customHeight="1" x14ac:dyDescent="0.3">
      <c r="C898" s="1"/>
      <c r="F898" s="2"/>
      <c r="G898" s="2"/>
    </row>
    <row r="899" spans="3:7" ht="14.25" customHeight="1" x14ac:dyDescent="0.3">
      <c r="C899" s="1"/>
      <c r="F899" s="2"/>
      <c r="G899" s="2"/>
    </row>
    <row r="900" spans="3:7" ht="14.25" customHeight="1" x14ac:dyDescent="0.3">
      <c r="C900" s="1"/>
      <c r="F900" s="2"/>
      <c r="G900" s="2"/>
    </row>
    <row r="901" spans="3:7" ht="14.25" customHeight="1" x14ac:dyDescent="0.3">
      <c r="C901" s="1"/>
      <c r="F901" s="2"/>
      <c r="G901" s="2"/>
    </row>
    <row r="902" spans="3:7" ht="14.25" customHeight="1" x14ac:dyDescent="0.3">
      <c r="C902" s="1"/>
      <c r="F902" s="2"/>
      <c r="G902" s="2"/>
    </row>
    <row r="903" spans="3:7" ht="14.25" customHeight="1" x14ac:dyDescent="0.3">
      <c r="C903" s="1"/>
      <c r="F903" s="2"/>
      <c r="G903" s="2"/>
    </row>
    <row r="904" spans="3:7" ht="14.25" customHeight="1" x14ac:dyDescent="0.3">
      <c r="C904" s="1"/>
      <c r="F904" s="2"/>
      <c r="G904" s="2"/>
    </row>
    <row r="905" spans="3:7" ht="14.25" customHeight="1" x14ac:dyDescent="0.3">
      <c r="C905" s="1"/>
      <c r="F905" s="2"/>
      <c r="G905" s="2"/>
    </row>
    <row r="906" spans="3:7" ht="14.25" customHeight="1" x14ac:dyDescent="0.3">
      <c r="C906" s="1"/>
      <c r="F906" s="2"/>
      <c r="G906" s="2"/>
    </row>
    <row r="907" spans="3:7" ht="14.25" customHeight="1" x14ac:dyDescent="0.3">
      <c r="C907" s="1"/>
      <c r="F907" s="2"/>
      <c r="G907" s="2"/>
    </row>
    <row r="908" spans="3:7" ht="14.25" customHeight="1" x14ac:dyDescent="0.3">
      <c r="C908" s="1"/>
      <c r="F908" s="2"/>
      <c r="G908" s="2"/>
    </row>
    <row r="909" spans="3:7" ht="14.25" customHeight="1" x14ac:dyDescent="0.3">
      <c r="C909" s="1"/>
      <c r="F909" s="2"/>
      <c r="G909" s="2"/>
    </row>
    <row r="910" spans="3:7" ht="14.25" customHeight="1" x14ac:dyDescent="0.3">
      <c r="C910" s="1"/>
      <c r="F910" s="2"/>
      <c r="G910" s="2"/>
    </row>
    <row r="911" spans="3:7" ht="14.25" customHeight="1" x14ac:dyDescent="0.3">
      <c r="C911" s="1"/>
      <c r="F911" s="2"/>
      <c r="G911" s="2"/>
    </row>
    <row r="912" spans="3:7" ht="14.25" customHeight="1" x14ac:dyDescent="0.3">
      <c r="C912" s="1"/>
      <c r="F912" s="2"/>
      <c r="G912" s="2"/>
    </row>
    <row r="913" spans="3:7" ht="14.25" customHeight="1" x14ac:dyDescent="0.3">
      <c r="C913" s="1"/>
      <c r="F913" s="2"/>
      <c r="G913" s="2"/>
    </row>
    <row r="914" spans="3:7" ht="14.25" customHeight="1" x14ac:dyDescent="0.3">
      <c r="C914" s="1"/>
      <c r="F914" s="2"/>
      <c r="G914" s="2"/>
    </row>
    <row r="915" spans="3:7" ht="14.25" customHeight="1" x14ac:dyDescent="0.3">
      <c r="C915" s="1"/>
      <c r="F915" s="2"/>
      <c r="G915" s="2"/>
    </row>
    <row r="916" spans="3:7" ht="14.25" customHeight="1" x14ac:dyDescent="0.3">
      <c r="C916" s="1"/>
      <c r="F916" s="2"/>
      <c r="G916" s="2"/>
    </row>
    <row r="917" spans="3:7" ht="14.25" customHeight="1" x14ac:dyDescent="0.3">
      <c r="C917" s="1"/>
      <c r="F917" s="2"/>
      <c r="G917" s="2"/>
    </row>
    <row r="918" spans="3:7" ht="14.25" customHeight="1" x14ac:dyDescent="0.3">
      <c r="C918" s="1"/>
      <c r="F918" s="2"/>
      <c r="G918" s="2"/>
    </row>
    <row r="919" spans="3:7" ht="14.25" customHeight="1" x14ac:dyDescent="0.3">
      <c r="C919" s="1"/>
      <c r="F919" s="2"/>
      <c r="G919" s="2"/>
    </row>
    <row r="920" spans="3:7" ht="14.25" customHeight="1" x14ac:dyDescent="0.3">
      <c r="C920" s="1"/>
      <c r="F920" s="2"/>
      <c r="G920" s="2"/>
    </row>
    <row r="921" spans="3:7" ht="14.25" customHeight="1" x14ac:dyDescent="0.3">
      <c r="C921" s="1"/>
      <c r="F921" s="2"/>
      <c r="G921" s="2"/>
    </row>
    <row r="922" spans="3:7" ht="14.25" customHeight="1" x14ac:dyDescent="0.3">
      <c r="C922" s="1"/>
      <c r="F922" s="2"/>
      <c r="G922" s="2"/>
    </row>
    <row r="923" spans="3:7" ht="14.25" customHeight="1" x14ac:dyDescent="0.3">
      <c r="C923" s="1"/>
      <c r="F923" s="2"/>
      <c r="G923" s="2"/>
    </row>
    <row r="924" spans="3:7" ht="14.25" customHeight="1" x14ac:dyDescent="0.3">
      <c r="C924" s="1"/>
      <c r="F924" s="2"/>
      <c r="G924" s="2"/>
    </row>
    <row r="925" spans="3:7" ht="14.25" customHeight="1" x14ac:dyDescent="0.3">
      <c r="C925" s="1"/>
      <c r="F925" s="2"/>
      <c r="G925" s="2"/>
    </row>
    <row r="926" spans="3:7" ht="14.25" customHeight="1" x14ac:dyDescent="0.3">
      <c r="C926" s="1"/>
      <c r="F926" s="2"/>
      <c r="G926" s="2"/>
    </row>
    <row r="927" spans="3:7" ht="14.25" customHeight="1" x14ac:dyDescent="0.3">
      <c r="C927" s="1"/>
      <c r="F927" s="2"/>
      <c r="G927" s="2"/>
    </row>
    <row r="928" spans="3:7" ht="14.25" customHeight="1" x14ac:dyDescent="0.3">
      <c r="C928" s="1"/>
      <c r="F928" s="2"/>
      <c r="G928" s="2"/>
    </row>
    <row r="929" spans="3:7" ht="14.25" customHeight="1" x14ac:dyDescent="0.3">
      <c r="C929" s="1"/>
      <c r="F929" s="2"/>
      <c r="G929" s="2"/>
    </row>
    <row r="930" spans="3:7" ht="14.25" customHeight="1" x14ac:dyDescent="0.3">
      <c r="C930" s="1"/>
      <c r="F930" s="2"/>
      <c r="G930" s="2"/>
    </row>
    <row r="931" spans="3:7" ht="14.25" customHeight="1" x14ac:dyDescent="0.3">
      <c r="C931" s="1"/>
      <c r="F931" s="2"/>
      <c r="G931" s="2"/>
    </row>
    <row r="932" spans="3:7" ht="14.25" customHeight="1" x14ac:dyDescent="0.3">
      <c r="C932" s="1"/>
      <c r="F932" s="2"/>
      <c r="G932" s="2"/>
    </row>
    <row r="933" spans="3:7" ht="14.25" customHeight="1" x14ac:dyDescent="0.3">
      <c r="C933" s="1"/>
      <c r="F933" s="2"/>
      <c r="G933" s="2"/>
    </row>
    <row r="934" spans="3:7" ht="14.25" customHeight="1" x14ac:dyDescent="0.3">
      <c r="C934" s="1"/>
      <c r="F934" s="2"/>
      <c r="G934" s="2"/>
    </row>
    <row r="935" spans="3:7" ht="14.25" customHeight="1" x14ac:dyDescent="0.3">
      <c r="C935" s="1"/>
      <c r="F935" s="2"/>
      <c r="G935" s="2"/>
    </row>
    <row r="936" spans="3:7" ht="14.25" customHeight="1" x14ac:dyDescent="0.3">
      <c r="C936" s="1"/>
      <c r="F936" s="2"/>
      <c r="G936" s="2"/>
    </row>
    <row r="937" spans="3:7" ht="14.25" customHeight="1" x14ac:dyDescent="0.3">
      <c r="C937" s="1"/>
      <c r="F937" s="2"/>
      <c r="G937" s="2"/>
    </row>
    <row r="938" spans="3:7" ht="14.25" customHeight="1" x14ac:dyDescent="0.3">
      <c r="C938" s="1"/>
      <c r="F938" s="2"/>
      <c r="G938" s="2"/>
    </row>
    <row r="939" spans="3:7" ht="14.25" customHeight="1" x14ac:dyDescent="0.3">
      <c r="C939" s="1"/>
      <c r="F939" s="2"/>
      <c r="G939" s="2"/>
    </row>
    <row r="940" spans="3:7" ht="14.25" customHeight="1" x14ac:dyDescent="0.3">
      <c r="C940" s="1"/>
      <c r="F940" s="2"/>
      <c r="G940" s="2"/>
    </row>
    <row r="941" spans="3:7" ht="14.25" customHeight="1" x14ac:dyDescent="0.3">
      <c r="C941" s="1"/>
      <c r="F941" s="2"/>
      <c r="G941" s="2"/>
    </row>
    <row r="942" spans="3:7" ht="14.25" customHeight="1" x14ac:dyDescent="0.3">
      <c r="C942" s="1"/>
      <c r="F942" s="2"/>
      <c r="G942" s="2"/>
    </row>
    <row r="943" spans="3:7" ht="14.25" customHeight="1" x14ac:dyDescent="0.3">
      <c r="C943" s="1"/>
      <c r="F943" s="2"/>
      <c r="G943" s="2"/>
    </row>
    <row r="944" spans="3:7" ht="14.25" customHeight="1" x14ac:dyDescent="0.3">
      <c r="C944" s="1"/>
      <c r="F944" s="2"/>
      <c r="G944" s="2"/>
    </row>
    <row r="945" spans="3:7" ht="14.25" customHeight="1" x14ac:dyDescent="0.3">
      <c r="C945" s="1"/>
      <c r="F945" s="2"/>
      <c r="G945" s="2"/>
    </row>
    <row r="946" spans="3:7" ht="14.25" customHeight="1" x14ac:dyDescent="0.3">
      <c r="C946" s="1"/>
      <c r="F946" s="2"/>
      <c r="G946" s="2"/>
    </row>
    <row r="947" spans="3:7" ht="14.25" customHeight="1" x14ac:dyDescent="0.3">
      <c r="C947" s="1"/>
      <c r="F947" s="2"/>
      <c r="G947" s="2"/>
    </row>
    <row r="948" spans="3:7" ht="14.25" customHeight="1" x14ac:dyDescent="0.3">
      <c r="C948" s="1"/>
      <c r="F948" s="2"/>
      <c r="G948" s="2"/>
    </row>
    <row r="949" spans="3:7" ht="14.25" customHeight="1" x14ac:dyDescent="0.3">
      <c r="C949" s="1"/>
      <c r="F949" s="2"/>
      <c r="G949" s="2"/>
    </row>
    <row r="950" spans="3:7" ht="14.25" customHeight="1" x14ac:dyDescent="0.3">
      <c r="C950" s="1"/>
      <c r="F950" s="2"/>
      <c r="G950" s="2"/>
    </row>
    <row r="951" spans="3:7" ht="14.25" customHeight="1" x14ac:dyDescent="0.3">
      <c r="C951" s="1"/>
      <c r="F951" s="2"/>
      <c r="G951" s="2"/>
    </row>
    <row r="952" spans="3:7" ht="14.25" customHeight="1" x14ac:dyDescent="0.3">
      <c r="C952" s="1"/>
      <c r="F952" s="2"/>
      <c r="G952" s="2"/>
    </row>
    <row r="953" spans="3:7" ht="14.25" customHeight="1" x14ac:dyDescent="0.3">
      <c r="C953" s="1"/>
      <c r="F953" s="2"/>
      <c r="G953" s="2"/>
    </row>
    <row r="954" spans="3:7" ht="14.25" customHeight="1" x14ac:dyDescent="0.3">
      <c r="C954" s="1"/>
      <c r="F954" s="2"/>
      <c r="G954" s="2"/>
    </row>
    <row r="955" spans="3:7" ht="14.25" customHeight="1" x14ac:dyDescent="0.3">
      <c r="C955" s="1"/>
      <c r="F955" s="2"/>
      <c r="G955" s="2"/>
    </row>
    <row r="956" spans="3:7" ht="14.25" customHeight="1" x14ac:dyDescent="0.3">
      <c r="C956" s="1"/>
      <c r="F956" s="2"/>
      <c r="G956" s="2"/>
    </row>
    <row r="957" spans="3:7" ht="14.25" customHeight="1" x14ac:dyDescent="0.3">
      <c r="C957" s="1"/>
      <c r="F957" s="2"/>
      <c r="G957" s="2"/>
    </row>
    <row r="958" spans="3:7" ht="14.25" customHeight="1" x14ac:dyDescent="0.3">
      <c r="C958" s="1"/>
      <c r="F958" s="2"/>
      <c r="G958" s="2"/>
    </row>
    <row r="959" spans="3:7" ht="14.25" customHeight="1" x14ac:dyDescent="0.3">
      <c r="C959" s="1"/>
      <c r="F959" s="2"/>
      <c r="G959" s="2"/>
    </row>
    <row r="960" spans="3:7" ht="14.25" customHeight="1" x14ac:dyDescent="0.3">
      <c r="C960" s="1"/>
      <c r="F960" s="2"/>
      <c r="G960" s="2"/>
    </row>
    <row r="961" spans="3:7" ht="14.25" customHeight="1" x14ac:dyDescent="0.3">
      <c r="C961" s="1"/>
      <c r="F961" s="2"/>
      <c r="G961" s="2"/>
    </row>
    <row r="962" spans="3:7" ht="14.25" customHeight="1" x14ac:dyDescent="0.3">
      <c r="C962" s="1"/>
      <c r="F962" s="2"/>
      <c r="G962" s="2"/>
    </row>
    <row r="963" spans="3:7" ht="14.25" customHeight="1" x14ac:dyDescent="0.3">
      <c r="C963" s="1"/>
      <c r="F963" s="2"/>
      <c r="G963" s="2"/>
    </row>
    <row r="964" spans="3:7" ht="14.25" customHeight="1" x14ac:dyDescent="0.3">
      <c r="C964" s="1"/>
      <c r="F964" s="2"/>
      <c r="G964" s="2"/>
    </row>
    <row r="965" spans="3:7" ht="14.25" customHeight="1" x14ac:dyDescent="0.3">
      <c r="C965" s="1"/>
      <c r="F965" s="2"/>
      <c r="G965" s="2"/>
    </row>
    <row r="966" spans="3:7" ht="14.25" customHeight="1" x14ac:dyDescent="0.3">
      <c r="C966" s="1"/>
      <c r="F966" s="2"/>
      <c r="G966" s="2"/>
    </row>
    <row r="967" spans="3:7" ht="14.25" customHeight="1" x14ac:dyDescent="0.3">
      <c r="C967" s="1"/>
      <c r="F967" s="2"/>
      <c r="G967" s="2"/>
    </row>
    <row r="968" spans="3:7" ht="14.25" customHeight="1" x14ac:dyDescent="0.3">
      <c r="C968" s="1"/>
      <c r="F968" s="2"/>
      <c r="G968" s="2"/>
    </row>
    <row r="969" spans="3:7" ht="14.25" customHeight="1" x14ac:dyDescent="0.3">
      <c r="C969" s="1"/>
      <c r="F969" s="2"/>
      <c r="G969" s="2"/>
    </row>
    <row r="970" spans="3:7" ht="14.25" customHeight="1" x14ac:dyDescent="0.3">
      <c r="C970" s="1"/>
      <c r="F970" s="2"/>
      <c r="G970" s="2"/>
    </row>
    <row r="971" spans="3:7" ht="14.25" customHeight="1" x14ac:dyDescent="0.3">
      <c r="C971" s="1"/>
      <c r="F971" s="2"/>
      <c r="G971" s="2"/>
    </row>
    <row r="972" spans="3:7" ht="14.25" customHeight="1" x14ac:dyDescent="0.3">
      <c r="C972" s="1"/>
      <c r="F972" s="2"/>
      <c r="G972" s="2"/>
    </row>
    <row r="973" spans="3:7" ht="14.25" customHeight="1" x14ac:dyDescent="0.3">
      <c r="C973" s="1"/>
      <c r="F973" s="2"/>
      <c r="G973" s="2"/>
    </row>
    <row r="974" spans="3:7" ht="14.25" customHeight="1" x14ac:dyDescent="0.3">
      <c r="C974" s="1"/>
      <c r="F974" s="2"/>
      <c r="G974" s="2"/>
    </row>
    <row r="975" spans="3:7" ht="14.25" customHeight="1" x14ac:dyDescent="0.3">
      <c r="C975" s="1"/>
      <c r="F975" s="2"/>
      <c r="G975" s="2"/>
    </row>
    <row r="976" spans="3:7" ht="14.25" customHeight="1" x14ac:dyDescent="0.3">
      <c r="C976" s="1"/>
      <c r="F976" s="2"/>
      <c r="G976" s="2"/>
    </row>
    <row r="977" spans="3:7" ht="14.25" customHeight="1" x14ac:dyDescent="0.3">
      <c r="C977" s="1"/>
      <c r="F977" s="2"/>
      <c r="G977" s="2"/>
    </row>
    <row r="978" spans="3:7" ht="14.25" customHeight="1" x14ac:dyDescent="0.3">
      <c r="C978" s="1"/>
      <c r="F978" s="2"/>
      <c r="G978" s="2"/>
    </row>
    <row r="979" spans="3:7" ht="14.25" customHeight="1" x14ac:dyDescent="0.3">
      <c r="C979" s="1"/>
      <c r="F979" s="2"/>
      <c r="G979" s="2"/>
    </row>
    <row r="980" spans="3:7" ht="14.25" customHeight="1" x14ac:dyDescent="0.3">
      <c r="C980" s="1"/>
      <c r="F980" s="2"/>
      <c r="G980" s="2"/>
    </row>
    <row r="981" spans="3:7" ht="14.25" customHeight="1" x14ac:dyDescent="0.3">
      <c r="C981" s="1"/>
      <c r="F981" s="2"/>
      <c r="G981" s="2"/>
    </row>
    <row r="982" spans="3:7" ht="14.25" customHeight="1" x14ac:dyDescent="0.3">
      <c r="C982" s="1"/>
      <c r="F982" s="2"/>
      <c r="G982" s="2"/>
    </row>
    <row r="983" spans="3:7" ht="14.25" customHeight="1" x14ac:dyDescent="0.3">
      <c r="C983" s="1"/>
      <c r="F983" s="2"/>
      <c r="G983" s="2"/>
    </row>
    <row r="984" spans="3:7" ht="14.25" customHeight="1" x14ac:dyDescent="0.3">
      <c r="C984" s="1"/>
      <c r="F984" s="2"/>
      <c r="G984" s="2"/>
    </row>
    <row r="985" spans="3:7" ht="14.25" customHeight="1" x14ac:dyDescent="0.3">
      <c r="C985" s="1"/>
      <c r="F985" s="2"/>
      <c r="G985" s="2"/>
    </row>
    <row r="986" spans="3:7" ht="14.25" customHeight="1" x14ac:dyDescent="0.3">
      <c r="C986" s="1"/>
      <c r="F986" s="2"/>
      <c r="G986" s="2"/>
    </row>
    <row r="987" spans="3:7" ht="14.25" customHeight="1" x14ac:dyDescent="0.3">
      <c r="C987" s="1"/>
      <c r="F987" s="2"/>
      <c r="G987" s="2"/>
    </row>
    <row r="988" spans="3:7" ht="14.25" customHeight="1" x14ac:dyDescent="0.3">
      <c r="C988" s="1"/>
      <c r="F988" s="2"/>
      <c r="G988" s="2"/>
    </row>
    <row r="989" spans="3:7" ht="14.25" customHeight="1" x14ac:dyDescent="0.3">
      <c r="C989" s="1"/>
      <c r="F989" s="2"/>
      <c r="G989" s="2"/>
    </row>
    <row r="990" spans="3:7" ht="14.25" customHeight="1" x14ac:dyDescent="0.3">
      <c r="C990" s="1"/>
      <c r="F990" s="2"/>
      <c r="G990" s="2"/>
    </row>
    <row r="991" spans="3:7" ht="14.25" customHeight="1" x14ac:dyDescent="0.3">
      <c r="C991" s="1"/>
      <c r="F991" s="2"/>
      <c r="G991" s="2"/>
    </row>
    <row r="992" spans="3:7" ht="14.25" customHeight="1" x14ac:dyDescent="0.3">
      <c r="C992" s="1"/>
      <c r="F992" s="2"/>
      <c r="G992" s="2"/>
    </row>
    <row r="993" spans="3:7" ht="14.25" customHeight="1" x14ac:dyDescent="0.3">
      <c r="C993" s="1"/>
      <c r="F993" s="2"/>
      <c r="G993" s="2"/>
    </row>
    <row r="994" spans="3:7" ht="14.25" customHeight="1" x14ac:dyDescent="0.3">
      <c r="C994" s="1"/>
      <c r="F994" s="2"/>
      <c r="G994" s="2"/>
    </row>
    <row r="995" spans="3:7" ht="14.25" customHeight="1" x14ac:dyDescent="0.3">
      <c r="C995" s="1"/>
      <c r="F995" s="2"/>
      <c r="G995" s="2"/>
    </row>
    <row r="996" spans="3:7" ht="14.25" customHeight="1" x14ac:dyDescent="0.3">
      <c r="C996" s="1"/>
      <c r="F996" s="2"/>
      <c r="G996" s="2"/>
    </row>
    <row r="997" spans="3:7" ht="14.25" customHeight="1" x14ac:dyDescent="0.3">
      <c r="C997" s="1"/>
      <c r="F997" s="2"/>
      <c r="G997" s="2"/>
    </row>
  </sheetData>
  <mergeCells count="25">
    <mergeCell ref="E191:G191"/>
    <mergeCell ref="B203:D203"/>
    <mergeCell ref="B204:D204"/>
    <mergeCell ref="B206:D206"/>
    <mergeCell ref="B142:D142"/>
    <mergeCell ref="B149:D149"/>
    <mergeCell ref="B159:D159"/>
    <mergeCell ref="B168:D168"/>
    <mergeCell ref="B188:D188"/>
    <mergeCell ref="B191:D191"/>
    <mergeCell ref="B110:D110"/>
    <mergeCell ref="B125:D125"/>
    <mergeCell ref="B133:D133"/>
    <mergeCell ref="B137:D137"/>
    <mergeCell ref="B202:D202"/>
    <mergeCell ref="B55:D55"/>
    <mergeCell ref="B66:D66"/>
    <mergeCell ref="B74:D74"/>
    <mergeCell ref="B82:D82"/>
    <mergeCell ref="B98:D98"/>
    <mergeCell ref="B17:F17"/>
    <mergeCell ref="B20:D20"/>
    <mergeCell ref="B36:D36"/>
    <mergeCell ref="B39:D39"/>
    <mergeCell ref="B48:D48"/>
  </mergeCells>
  <pageMargins left="0.25" right="0.25" top="0.75" bottom="0.75" header="0" footer="0"/>
  <pageSetup scale="4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 FORM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Fanna</dc:creator>
  <cp:lastModifiedBy>Jon Buck</cp:lastModifiedBy>
  <cp:lastPrinted>2026-03-12T15:32:49Z</cp:lastPrinted>
  <dcterms:created xsi:type="dcterms:W3CDTF">2015-06-02T14:27:25Z</dcterms:created>
  <dcterms:modified xsi:type="dcterms:W3CDTF">2026-03-13T18:45:32Z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0x010100333C3F1D92EFBF45BFE154DA235050D6</vt:lpwstr>
  </property>
  <property fmtid="{D5CDD505-2E9C-101B-9397-08002B2CF9AE}" pid="3" name="MediaServiceImageTags">
    <vt:lpwstr/>
  </property>
</Properties>
</file>