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480" yWindow="4560" windowWidth="29040" windowHeight="15720" tabRatio="500" firstSheet="0" activeTab="0" autoFilterDateGrouping="1"/>
  </bookViews>
  <sheets>
    <sheet name="COVER" sheetId="1" state="visible" r:id="rId1"/>
    <sheet name="GC BID FORM" sheetId="2" state="visible" r:id="rId2"/>
    <sheet name="LANDIS FORM" sheetId="3" state="visible" r:id="rId3"/>
    <sheet name="MALL FEES" sheetId="4" state="visible" r:id="rId4"/>
    <sheet name="PROPOSED ROSTER" sheetId="5" state="visible" r:id="rId5"/>
  </sheets>
  <definedNames>
    <definedName name="Weeks">'LANDIS FORM'!$B$5</definedName>
    <definedName name="_xlnm.Print_Area" localSheetId="4">'PROPOSED ROSTER'!$A$1:$E$26</definedName>
    <definedName name="_xlnm.Print_Area" localSheetId="0">'COVER'!$A$1:$E$28</definedName>
    <definedName name="_xlnm.Print_Area" localSheetId="1">'GC BID FORM'!$A$9:$K$80</definedName>
    <definedName name="_xlnm._FilterDatabase" localSheetId="2" hidden="1">'LANDIS FORM'!$B$19:$D$39</definedName>
    <definedName name="_xlnm.Print_Area" localSheetId="2">'LANDIS FORM'!$A$1:$G$48</definedName>
    <definedName name="_xlnm.Print_Area" localSheetId="3">'MALL FEES'!$A$1:$H$18</definedName>
    <definedName name="_xlnm._FilterDatabase" localSheetId="4" hidden="1">'PROPOSED ROSTER'!$B$4:$E$24</definedName>
    <definedName name="_xlnm.Print_Area" localSheetId="4">'PROPOSED ROSTER'!$A$1:$E$26</definedName>
  </definedNames>
  <calcPr calcId="191029" calcMode="auto" fullCalcOnLoad="1" iterateDelta="0.0001"/>
</workbook>
</file>

<file path=xl/styles.xml><?xml version="1.0" encoding="utf-8"?>
<styleSheet xmlns="http://schemas.openxmlformats.org/spreadsheetml/2006/main">
  <numFmts count="5">
    <numFmt numFmtId="164" formatCode="\$#,##0;&quot;($&quot;#,##0\);\-"/>
    <numFmt numFmtId="165" formatCode="0.0%;\(0.0%\);\-"/>
    <numFmt numFmtId="166" formatCode="\$#,##0;&quot;(&quot;$&quot;#,##0);\-"/>
    <numFmt numFmtId="167" formatCode="0.0"/>
    <numFmt numFmtId="168" formatCode="\$#,##0.00;&quot;(&quot;$&quot;#,##0.00);\-"/>
  </numFmts>
  <fonts count="21">
    <font>
      <name val="Calibri"/>
      <charset val="1"/>
      <family val="2"/>
      <color theme="1"/>
      <sz val="11"/>
    </font>
    <font>
      <name val="Calibri"/>
      <charset val="1"/>
      <b val="1"/>
      <color rgb="FF1F4E78"/>
      <sz val="14"/>
    </font>
    <font>
      <name val="Calibri"/>
      <charset val="1"/>
      <i val="1"/>
      <color rgb="FF595959"/>
      <sz val="9"/>
    </font>
    <font>
      <name val="Calibri"/>
      <charset val="1"/>
      <b val="1"/>
      <color rgb="FFFFFFFF"/>
      <sz val="12"/>
    </font>
    <font>
      <name val="Calibri"/>
      <charset val="1"/>
      <b val="1"/>
      <color rgb="FF1F4E78"/>
      <sz val="11"/>
    </font>
    <font>
      <name val="Calibri"/>
      <charset val="1"/>
      <b val="1"/>
      <sz val="10"/>
    </font>
    <font>
      <name val="Calibri"/>
      <charset val="1"/>
      <sz val="10"/>
    </font>
    <font>
      <name val="Calibri"/>
      <charset val="1"/>
      <b val="1"/>
      <color rgb="FFFFFFFF"/>
      <sz val="11"/>
    </font>
    <font>
      <name val="Calibri"/>
      <charset val="1"/>
      <b val="1"/>
      <sz val="11"/>
    </font>
    <font>
      <name val="Calibri"/>
      <i val="1"/>
      <color rgb="00595959"/>
      <sz val="10"/>
    </font>
    <font>
      <name val="Calibri"/>
      <b val="1"/>
      <color rgb="001F4E78"/>
      <sz val="16"/>
    </font>
    <font>
      <name val="Calibri"/>
      <b val="1"/>
      <color rgb="001F4E78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FFFFFF"/>
      <sz val="14"/>
    </font>
    <font>
      <name val="Calibri"/>
      <b val="1"/>
      <color rgb="00C00000"/>
      <sz val="10"/>
    </font>
    <font>
      <name val="Calibri"/>
      <i val="1"/>
      <color rgb="00595959"/>
      <sz val="9"/>
    </font>
    <font>
      <name val="Calibri"/>
      <b val="1"/>
      <color rgb="009C5700"/>
      <sz val="10"/>
    </font>
    <font>
      <name val="Calibri"/>
      <b val="1"/>
      <color rgb="001F4E78"/>
      <sz val="18"/>
    </font>
    <font>
      <name val="Calibri"/>
      <i val="1"/>
      <color rgb="001F4E78"/>
      <sz val="12"/>
    </font>
  </fonts>
  <fills count="1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E599"/>
      </patternFill>
    </fill>
    <fill>
      <patternFill patternType="solid">
        <fgColor rgb="001F4E78"/>
      </patternFill>
    </fill>
    <fill>
      <patternFill patternType="solid">
        <fgColor rgb="00D6E3F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3F0"/>
        <bgColor rgb="00D6E3F0"/>
      </patternFill>
    </fill>
    <fill>
      <patternFill patternType="solid">
        <fgColor rgb="00FFE599"/>
        <bgColor rgb="00FFE599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2" fillId="0" borderId="0" pivotButton="0" quotePrefix="0" xfId="0"/>
    <xf numFmtId="0" fontId="8" fillId="4" borderId="0" pivotButton="0" quotePrefix="0" xfId="0"/>
    <xf numFmtId="0" fontId="4" fillId="3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164" fontId="3" fillId="2" borderId="1" pivotButton="0" quotePrefix="0" xfId="0"/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164" fontId="4" fillId="3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164" fontId="6" fillId="0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2" fillId="0" borderId="0" pivotButton="0" quotePrefix="0" xfId="0"/>
    <xf numFmtId="0" fontId="8" fillId="4" borderId="0" pivotButton="0" quotePrefix="0" xfId="0"/>
    <xf numFmtId="164" fontId="8" fillId="4" borderId="1" pivotButton="0" quotePrefix="0" xfId="0"/>
    <xf numFmtId="165" fontId="6" fillId="0" borderId="1" pivotButton="0" quotePrefix="0" xfId="0"/>
    <xf numFmtId="0" fontId="6" fillId="0" borderId="1" applyAlignment="1" pivotButton="0" quotePrefix="0" xfId="0">
      <alignment horizontal="center"/>
    </xf>
    <xf numFmtId="164" fontId="3" fillId="5" borderId="1" pivotButton="0" quotePrefix="0" xfId="0"/>
    <xf numFmtId="164" fontId="4" fillId="5" borderId="1" pivotButton="0" quotePrefix="0" xfId="0"/>
    <xf numFmtId="166" fontId="6" fillId="5" borderId="1" pivotButton="0" quotePrefix="0" xfId="0"/>
    <xf numFmtId="164" fontId="6" fillId="5" borderId="1" pivotButton="0" quotePrefix="0" xfId="0"/>
    <xf numFmtId="165" fontId="6" fillId="7" borderId="1" pivotButton="0" quotePrefix="0" xfId="0"/>
    <xf numFmtId="0" fontId="9" fillId="0" borderId="0" applyAlignment="1" pivotButton="0" quotePrefix="0" xfId="0">
      <alignment vertical="center" wrapText="1"/>
    </xf>
    <xf numFmtId="0" fontId="6" fillId="7" borderId="1" applyAlignment="1" pivotButton="0" quotePrefix="0" xfId="0">
      <alignment horizontal="center"/>
    </xf>
    <xf numFmtId="0" fontId="6" fillId="6" borderId="0" pivotButton="0" quotePrefix="0" xfId="0"/>
    <xf numFmtId="166" fontId="6" fillId="6" borderId="1" pivotButton="0" quotePrefix="0" xfId="0"/>
    <xf numFmtId="0" fontId="6" fillId="6" borderId="1" applyAlignment="1" pivotButton="0" quotePrefix="0" xfId="0">
      <alignment horizontal="center"/>
    </xf>
    <xf numFmtId="0" fontId="9" fillId="6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167" fontId="12" fillId="7" borderId="2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8" borderId="0" applyAlignment="1" pivotButton="0" quotePrefix="0" xfId="0">
      <alignment horizontal="left" vertical="center" wrapText="1"/>
    </xf>
    <xf numFmtId="0" fontId="13" fillId="8" borderId="0" pivotButton="0" quotePrefix="0" xfId="0"/>
    <xf numFmtId="0" fontId="14" fillId="9" borderId="0" pivotButton="0" quotePrefix="0" xfId="0"/>
    <xf numFmtId="166" fontId="12" fillId="7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10" fontId="12" fillId="7" borderId="2" applyAlignment="1" pivotButton="0" quotePrefix="0" xfId="0">
      <alignment horizontal="center" vertical="center" wrapText="1"/>
    </xf>
    <xf numFmtId="10" fontId="0" fillId="5" borderId="2" pivotButton="0" quotePrefix="0" xfId="0"/>
    <xf numFmtId="0" fontId="9" fillId="0" borderId="0" pivotButton="0" quotePrefix="0" xfId="0"/>
    <xf numFmtId="0" fontId="14" fillId="9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" pivotButton="0" quotePrefix="0" xfId="0"/>
    <xf numFmtId="166" fontId="0" fillId="0" borderId="2" applyAlignment="1" pivotButton="0" quotePrefix="0" xfId="0">
      <alignment horizontal="right" vertical="center"/>
    </xf>
    <xf numFmtId="0" fontId="12" fillId="10" borderId="2" applyAlignment="1" pivotButton="0" quotePrefix="0" xfId="0">
      <alignment horizontal="center" vertical="center" wrapText="1"/>
    </xf>
    <xf numFmtId="0" fontId="12" fillId="10" borderId="2" pivotButton="0" quotePrefix="0" xfId="0"/>
    <xf numFmtId="166" fontId="0" fillId="10" borderId="2" applyAlignment="1" pivotButton="0" quotePrefix="0" xfId="0">
      <alignment horizontal="right" vertical="center"/>
    </xf>
    <xf numFmtId="0" fontId="11" fillId="0" borderId="0" pivotButton="0" quotePrefix="0" xfId="0"/>
    <xf numFmtId="166" fontId="12" fillId="5" borderId="2" applyAlignment="1" pivotButton="0" quotePrefix="0" xfId="0">
      <alignment horizontal="right" vertical="center"/>
    </xf>
    <xf numFmtId="0" fontId="13" fillId="8" borderId="0" applyAlignment="1" pivotButton="0" quotePrefix="0" xfId="0">
      <alignment horizontal="right" vertical="center"/>
    </xf>
    <xf numFmtId="166" fontId="13" fillId="8" borderId="2" applyAlignment="1" pivotButton="0" quotePrefix="0" xfId="0">
      <alignment horizontal="right" vertical="center"/>
    </xf>
    <xf numFmtId="0" fontId="9" fillId="0" borderId="0" applyAlignment="1" pivotButton="0" quotePrefix="0" xfId="0">
      <alignment vertical="top" wrapText="1"/>
    </xf>
    <xf numFmtId="0" fontId="15" fillId="8" borderId="0" applyAlignment="1" pivotButton="0" quotePrefix="0" xfId="0">
      <alignment horizontal="left" vertical="center" wrapText="1"/>
    </xf>
    <xf numFmtId="0" fontId="15" fillId="8" borderId="0" pivotButton="0" quotePrefix="0" xfId="0"/>
    <xf numFmtId="0" fontId="16" fillId="0" borderId="0" applyAlignment="1" pivotButton="0" quotePrefix="0" xfId="0">
      <alignment vertical="center" wrapText="1"/>
    </xf>
    <xf numFmtId="0" fontId="13" fillId="8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vertical="center" wrapText="1"/>
    </xf>
    <xf numFmtId="0" fontId="12" fillId="0" borderId="2" applyAlignment="1" pivotButton="0" quotePrefix="0" xfId="0">
      <alignment vertical="center" wrapText="1"/>
    </xf>
    <xf numFmtId="0" fontId="11" fillId="10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vertical="center" wrapText="1"/>
    </xf>
    <xf numFmtId="0" fontId="11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vertical="center" wrapText="1"/>
    </xf>
    <xf numFmtId="0" fontId="11" fillId="9" borderId="2" applyAlignment="1" pivotButton="0" quotePrefix="0" xfId="0">
      <alignment vertical="top" wrapText="1"/>
    </xf>
    <xf numFmtId="0" fontId="12" fillId="0" borderId="2" applyAlignment="1" pivotButton="0" quotePrefix="0" xfId="0">
      <alignment vertical="top" wrapText="1"/>
    </xf>
    <xf numFmtId="0" fontId="19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20" fillId="0" borderId="0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11" fillId="9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 wrapText="1"/>
    </xf>
    <xf numFmtId="165" fontId="12" fillId="7" borderId="2" applyAlignment="1" pivotButton="0" quotePrefix="0" xfId="0">
      <alignment horizontal="center" vertical="center" wrapText="1"/>
    </xf>
    <xf numFmtId="166" fontId="6" fillId="11" borderId="1" applyAlignment="1" pivotButton="0" quotePrefix="0" xfId="0">
      <alignment horizontal="center" vertical="center" wrapText="1"/>
    </xf>
    <xf numFmtId="167" fontId="6" fillId="11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/>
    </xf>
    <xf numFmtId="0" fontId="14" fillId="9" borderId="2" pivotButton="0" quotePrefix="0" xfId="0"/>
    <xf numFmtId="0" fontId="12" fillId="7" borderId="2" applyAlignment="1" pivotButton="0" quotePrefix="0" xfId="0">
      <alignment vertical="center" wrapText="1"/>
    </xf>
    <xf numFmtId="0" fontId="18" fillId="7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3" fontId="12" fillId="9" borderId="2" applyAlignment="1" pivotButton="0" quotePrefix="0" xfId="0">
      <alignment horizontal="center" vertical="center" wrapText="1"/>
    </xf>
    <xf numFmtId="168" fontId="12" fillId="0" borderId="2" applyAlignment="1" pivotButton="0" quotePrefix="0" xfId="0">
      <alignment horizontal="right" vertical="center"/>
    </xf>
    <xf numFmtId="3" fontId="12" fillId="0" borderId="2" applyAlignment="1" pivotButton="0" quotePrefix="0" xfId="0">
      <alignment horizontal="center" vertical="center" wrapText="1"/>
    </xf>
    <xf numFmtId="168" fontId="12" fillId="5" borderId="2" applyAlignment="1" pivotButton="0" quotePrefix="0" xfId="0">
      <alignment horizontal="right" vertical="center"/>
    </xf>
    <xf numFmtId="0" fontId="12" fillId="11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1" fontId="12" fillId="0" borderId="2" applyAlignment="1" pivotButton="0" quotePrefix="0" xfId="0">
      <alignment horizontal="center" vertical="center" wrapText="1"/>
    </xf>
    <xf numFmtId="1" fontId="12" fillId="7" borderId="2" applyAlignment="1" pivotButton="0" quotePrefix="0" xfId="0">
      <alignment horizontal="center" vertical="center" wrapText="1"/>
    </xf>
    <xf numFmtId="0" fontId="11" fillId="0" borderId="2" pivotButton="0" quotePrefix="0" xfId="0"/>
    <xf numFmtId="0" fontId="12" fillId="10" borderId="2" applyAlignment="1" pivotButton="0" quotePrefix="0" xfId="0">
      <alignment horizontal="left" vertical="center" wrapText="1"/>
    </xf>
    <xf numFmtId="0" fontId="0" fillId="10" borderId="2" pivotButton="0" quotePrefix="0" xfId="0"/>
    <xf numFmtId="0" fontId="9" fillId="0" borderId="0" applyAlignment="1" pivotButton="0" quotePrefix="0" xfId="0">
      <alignment horizontal="left" vertical="top" wrapText="1"/>
    </xf>
    <xf numFmtId="0" fontId="11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5" fontId="12" fillId="12" borderId="2" applyAlignment="1" pivotButton="0" quotePrefix="0" xfId="0">
      <alignment horizontal="center" vertical="center" wrapText="1"/>
    </xf>
    <xf numFmtId="166" fontId="12" fillId="12" borderId="2" applyAlignment="1" pivotButton="0" quotePrefix="0" xfId="0">
      <alignment horizontal="center" vertical="center" wrapText="1"/>
    </xf>
    <xf numFmtId="167" fontId="12" fillId="12" borderId="2" applyAlignment="1" pivotButton="0" quotePrefix="0" xfId="0">
      <alignment horizontal="center" vertical="center" wrapText="1"/>
    </xf>
    <xf numFmtId="10" fontId="12" fillId="12" borderId="2" applyAlignment="1" pivotButton="0" quotePrefix="0" xfId="0">
      <alignment horizontal="center" vertical="center" wrapText="1"/>
    </xf>
    <xf numFmtId="10" fontId="0" fillId="13" borderId="2" pivotButton="0" quotePrefix="0" xfId="0"/>
    <xf numFmtId="0" fontId="11" fillId="12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vertical="center" wrapText="1"/>
    </xf>
    <xf numFmtId="0" fontId="12" fillId="12" borderId="2" applyAlignment="1" pivotButton="0" quotePrefix="0" xfId="0">
      <alignment vertical="center" wrapText="1"/>
    </xf>
    <xf numFmtId="0" fontId="18" fillId="12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 wrapText="1"/>
    </xf>
    <xf numFmtId="0" fontId="0" fillId="12" borderId="0" pivotButton="0" quotePrefix="0" xfId="0"/>
    <xf numFmtId="0" fontId="0" fillId="13" borderId="0" pivotButton="0" quotePrefix="0" xfId="0"/>
    <xf numFmtId="0" fontId="0" fillId="9" borderId="0" pivotButton="0" quotePrefix="0" xfId="0"/>
    <xf numFmtId="0" fontId="13" fillId="14" borderId="0" pivotButton="0" quotePrefix="0" xfId="0"/>
    <xf numFmtId="0" fontId="0" fillId="14" borderId="0" pivotButton="0" quotePrefix="0" xfId="0"/>
    <xf numFmtId="0" fontId="11" fillId="14" borderId="2" applyAlignment="1" pivotButton="0" quotePrefix="0" xfId="0">
      <alignment horizontal="left" vertical="top" wrapText="1"/>
    </xf>
    <xf numFmtId="0" fontId="12" fillId="14" borderId="2" applyAlignment="1" pivotButton="0" quotePrefix="0" xfId="0">
      <alignment horizontal="left" vertical="top" wrapText="1"/>
    </xf>
    <xf numFmtId="10" fontId="0" fillId="15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E28"/>
  <sheetViews>
    <sheetView showGridLines="0" zoomScale="12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78" customWidth="1" min="3" max="3"/>
    <col width="22" customWidth="1" min="4" max="4"/>
    <col width="18" customWidth="1" min="5" max="5"/>
  </cols>
  <sheetData>
    <row r="2" ht="26" customHeight="1">
      <c r="B2" s="74" t="inlineStr">
        <is>
          <t>LUX Brand Company</t>
        </is>
      </c>
    </row>
    <row r="3" ht="22" customHeight="1">
      <c r="B3" s="75" t="inlineStr">
        <is>
          <t>Ralph Lauren  —  Town Center at Boca Raton</t>
        </is>
      </c>
    </row>
    <row r="4" ht="20" customHeight="1">
      <c r="B4" s="76" t="inlineStr">
        <is>
          <t>Open-book cost-plus CM exhibit. Not a lump-sum bid.</t>
        </is>
      </c>
    </row>
    <row r="5" ht="36" customHeight="1">
      <c r="B5" s="30" t="inlineStr">
        <is>
          <t>Commercial terms: 21 weeks · $4,400/wk superintendent · 10% CM fee · 1.5% liability insurance · 1% pre-construction, payable with first pay application / NTP.</t>
        </is>
      </c>
    </row>
    <row r="7" ht="20" customHeight="1">
      <c r="B7" s="41" t="inlineStr">
        <is>
          <t>JOB IDENTITY</t>
        </is>
      </c>
    </row>
    <row r="8" ht="20" customHeight="1">
      <c r="B8" s="77" t="inlineStr">
        <is>
          <t>Client</t>
        </is>
      </c>
      <c r="C8" s="78" t="inlineStr">
        <is>
          <t>Ralph Lauren</t>
        </is>
      </c>
      <c r="D8" s="109" t="n"/>
      <c r="E8" s="110" t="n"/>
    </row>
    <row r="9" ht="20" customHeight="1">
      <c r="B9" s="77" t="inlineStr">
        <is>
          <t>Location</t>
        </is>
      </c>
      <c r="C9" s="78" t="inlineStr">
        <is>
          <t>Town Center at Boca Raton, Simon space 1062, 600 Glades Road</t>
        </is>
      </c>
      <c r="D9" s="109" t="n"/>
      <c r="E9" s="110" t="n"/>
    </row>
    <row r="10" ht="20" customHeight="1">
      <c r="B10" s="77" t="inlineStr">
        <is>
          <t>Area</t>
        </is>
      </c>
      <c r="C10" s="78" t="inlineStr">
        <is>
          <t>3,384 sf</t>
        </is>
      </c>
      <c r="D10" s="109" t="n"/>
      <c r="E10" s="110" t="n"/>
    </row>
    <row r="11" ht="20" customHeight="1">
      <c r="B11" s="77" t="inlineStr">
        <is>
          <t>Owner's representative</t>
        </is>
      </c>
      <c r="C11" s="78" t="inlineStr">
        <is>
          <t>Charrette MG — Landis Kauffman, Claudia Mardones</t>
        </is>
      </c>
      <c r="D11" s="109" t="n"/>
      <c r="E11" s="110" t="n"/>
    </row>
    <row r="12" ht="20" customHeight="1">
      <c r="B12" s="77" t="inlineStr">
        <is>
          <t>Contract</t>
        </is>
      </c>
      <c r="C12" s="78" t="inlineStr">
        <is>
          <t>Cost-plus / CM + GC  (not lump sum)</t>
        </is>
      </c>
      <c r="D12" s="109" t="n"/>
      <c r="E12" s="110" t="n"/>
    </row>
    <row r="13" ht="20" customHeight="1">
      <c r="B13" s="77" t="inlineStr">
        <is>
          <t>Payment</t>
        </is>
      </c>
      <c r="C13" s="78" t="inlineStr">
        <is>
          <t>Ralph Lauren policy: net 90</t>
        </is>
      </c>
      <c r="D13" s="109" t="n"/>
      <c r="E13" s="110" t="n"/>
    </row>
    <row r="14" ht="20" customHeight="1">
      <c r="B14" s="77" t="inlineStr">
        <is>
          <t>Calendar (intake)</t>
        </is>
      </c>
      <c r="C14" s="78" t="inlineStr">
        <is>
          <t>Commence 2027-04-02  |  Substantial 2027-08-18  |  Final 2027-08-25</t>
        </is>
      </c>
      <c r="D14" s="109" t="n"/>
      <c r="E14" s="110" t="n"/>
    </row>
    <row r="15" ht="20" customHeight="1">
      <c r="B15" s="77" t="inlineStr">
        <is>
          <t>Architect</t>
        </is>
      </c>
      <c r="C15" s="78" t="inlineStr">
        <is>
          <t>TPG</t>
        </is>
      </c>
      <c r="D15" s="109" t="n"/>
      <c r="E15" s="110" t="n"/>
    </row>
    <row r="16" ht="20" customHeight="1">
      <c r="B16" s="77" t="inlineStr">
        <is>
          <t>RL NDA</t>
        </is>
      </c>
      <c r="C16" s="78" t="inlineStr">
        <is>
          <t>2026-07-14</t>
        </is>
      </c>
      <c r="D16" s="109" t="n"/>
      <c r="E16" s="110" t="n"/>
    </row>
    <row r="17" ht="20" customHeight="1">
      <c r="B17" s="77" t="inlineStr">
        <is>
          <t>RL contact on drawings</t>
        </is>
      </c>
      <c r="C17" s="78" t="inlineStr">
        <is>
          <t>dorit.alexander@ralphlauren.com</t>
        </is>
      </c>
      <c r="D17" s="109" t="n"/>
      <c r="E17" s="110" t="n"/>
    </row>
    <row r="18" ht="20" customHeight="1">
      <c r="B18" s="77" t="inlineStr">
        <is>
          <t>Permit fees</t>
        </is>
      </c>
      <c r="C18" s="78" t="inlineStr">
        <is>
          <t>Excluded / invoiced separately</t>
        </is>
      </c>
      <c r="D18" s="109" t="n"/>
      <c r="E18" s="110" t="n"/>
    </row>
    <row r="19" ht="20" customHeight="1">
      <c r="B19" s="77" t="inlineStr">
        <is>
          <t>Sales tax</t>
        </is>
      </c>
      <c r="C19" s="78" t="inlineStr">
        <is>
          <t>Invoiced separately</t>
        </is>
      </c>
      <c r="D19" s="109" t="n"/>
      <c r="E19" s="110" t="n"/>
    </row>
    <row r="20" ht="20" customHeight="1">
      <c r="B20" s="77" t="inlineStr">
        <is>
          <t>GC</t>
        </is>
      </c>
      <c r="C20" s="78" t="inlineStr">
        <is>
          <t>LUX Brand Company</t>
        </is>
      </c>
      <c r="D20" s="109" t="n"/>
      <c r="E20" s="110" t="n"/>
    </row>
    <row r="21">
      <c r="B21" s="123" t="inlineStr">
        <is>
          <t>Duration</t>
        </is>
      </c>
      <c r="C21" t="inlineStr">
        <is>
          <t>21 weeks</t>
        </is>
      </c>
    </row>
    <row r="22">
      <c r="B22" s="124" t="n"/>
      <c r="C22" s="125" t="n"/>
      <c r="D22" s="125" t="n"/>
      <c r="E22" s="125" t="n"/>
    </row>
    <row r="23" ht="42" customHeight="1">
      <c r="B23" s="126" t="n"/>
      <c r="C23" s="127" t="n"/>
      <c r="D23" s="125" t="n"/>
      <c r="E23" s="125" t="n"/>
    </row>
    <row r="24" ht="42" customHeight="1">
      <c r="B24" s="126" t="n"/>
      <c r="C24" s="127" t="n"/>
      <c r="D24" s="125" t="n"/>
      <c r="E24" s="125" t="n"/>
    </row>
    <row r="25" ht="42" customHeight="1">
      <c r="B25" s="126" t="n"/>
      <c r="C25" s="127" t="n"/>
      <c r="D25" s="125" t="n"/>
      <c r="E25" s="125" t="n"/>
    </row>
    <row r="26" ht="42" customHeight="1">
      <c r="B26" s="126" t="n"/>
      <c r="C26" s="127" t="n"/>
      <c r="D26" s="125" t="n"/>
      <c r="E26" s="125" t="n"/>
    </row>
    <row r="27" ht="42" customHeight="1">
      <c r="B27" s="126" t="n"/>
      <c r="C27" s="127" t="n"/>
      <c r="D27" s="125" t="n"/>
      <c r="E27" s="125" t="n"/>
    </row>
    <row r="28" ht="42" customHeight="1">
      <c r="B28" s="126" t="n"/>
      <c r="C28" s="127" t="n"/>
      <c r="D28" s="125" t="n"/>
      <c r="E28" s="125" t="n"/>
    </row>
  </sheetData>
  <mergeCells count="19">
    <mergeCell ref="C16:E16"/>
    <mergeCell ref="C9:E9"/>
    <mergeCell ref="B5:E5"/>
    <mergeCell ref="C21:E21"/>
    <mergeCell ref="C12:E12"/>
    <mergeCell ref="C11:E11"/>
    <mergeCell ref="B4:E4"/>
    <mergeCell ref="C8:E8"/>
    <mergeCell ref="B7:E7"/>
    <mergeCell ref="C17:E17"/>
    <mergeCell ref="B3:E3"/>
    <mergeCell ref="C13:E13"/>
    <mergeCell ref="C19:E19"/>
    <mergeCell ref="C18:E18"/>
    <mergeCell ref="B2:E2"/>
    <mergeCell ref="C15:E15"/>
    <mergeCell ref="C14:E14"/>
    <mergeCell ref="C20:E20"/>
    <mergeCell ref="C10:E10"/>
  </mergeCells>
  <printOptions horizontalCentered="1"/>
  <pageMargins left="0.5" right="0.5" top="0.7" bottom="0.6" header="0.3" footer="0.3"/>
  <pageSetup orientation="portrait" paperSize="1" fitToHeight="1" fitToWidth="1"/>
  <headerFooter>
    <oddHeader>&amp;LLUX Brand Company&amp;CRalph Lauren — Town Center at Boca Raton, Simon space 1062&amp;RCost-plus CM / GC  |  first-draft open-book exhibit</oddHeader>
    <oddFooter>&amp;LLUX Brand Company&amp;CNot a lump-sum bid  |  blank commercial inputs are OPEN&amp;RPage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9:K80"/>
  <sheetViews>
    <sheetView showGridLines="0" tabSelected="1" topLeftCell="A9" zoomScale="100" zoomScaleNormal="100" workbookViewId="0">
      <pane ySplit="22" topLeftCell="A23" activePane="bottomLeft" state="frozen"/>
      <selection pane="bottomLeft" activeCell="A82" sqref="A82:XFD90"/>
    </sheetView>
  </sheetViews>
  <sheetFormatPr baseColWidth="8" defaultColWidth="8.6640625" defaultRowHeight="14.25"/>
  <cols>
    <col width="3" customWidth="1" min="1" max="1"/>
    <col width="11" customWidth="1" min="2" max="2"/>
    <col width="4" customWidth="1" min="3" max="3"/>
    <col width="42" customWidth="1" min="4" max="4"/>
    <col width="16" customWidth="1" min="5" max="5"/>
    <col width="10" customWidth="1" min="6" max="7"/>
    <col width="22" customWidth="1" min="8" max="8"/>
    <col width="14" customWidth="1" min="9" max="9"/>
    <col width="16" customWidth="1" min="10" max="10"/>
    <col width="72" customWidth="1" min="11" max="11"/>
  </cols>
  <sheetData>
    <row r="9" ht="18" customHeight="1">
      <c r="I9" s="5" t="inlineStr">
        <is>
          <t>BID SCHEDULE</t>
        </is>
      </c>
    </row>
    <row r="10">
      <c r="I10" s="82" t="inlineStr">
        <is>
          <t>Open-book cost-plus CM exhibit — not a lump-sum bid.</t>
        </is>
      </c>
    </row>
    <row r="14" ht="15.75" customHeight="1">
      <c r="H14" s="7" t="inlineStr">
        <is>
          <t>Project Bid</t>
        </is>
      </c>
      <c r="I14" s="8" t="inlineStr">
        <is>
          <t>USD</t>
        </is>
      </c>
      <c r="J14" s="25">
        <f>J80</f>
        <v/>
      </c>
      <c r="K14" s="83" t="inlineStr">
        <is>
          <t>Rollup of entered lines. Trade packages not yet bid.</t>
        </is>
      </c>
    </row>
    <row r="15">
      <c r="H15" s="10" t="inlineStr">
        <is>
          <t>Total with Escrows</t>
        </is>
      </c>
      <c r="I15" s="11" t="inlineStr">
        <is>
          <t>USD</t>
        </is>
      </c>
      <c r="J15" s="26">
        <f>J14+J23</f>
        <v/>
      </c>
    </row>
    <row r="16">
      <c r="D16" s="13" t="inlineStr">
        <is>
          <t>CONTRACT TYPE:</t>
        </is>
      </c>
      <c r="E16" s="14" t="inlineStr">
        <is>
          <t>Cost-Plus CM (open book)</t>
        </is>
      </c>
      <c r="H16" s="15" t="inlineStr">
        <is>
          <t>Add Alternates</t>
        </is>
      </c>
      <c r="I16" s="16" t="inlineStr">
        <is>
          <t>USD</t>
        </is>
      </c>
      <c r="J16" s="27" t="n">
        <v>0</v>
      </c>
    </row>
    <row r="17">
      <c r="D17" s="13" t="inlineStr">
        <is>
          <t>LABOR:</t>
        </is>
      </c>
      <c r="E17" s="14" t="inlineStr">
        <is>
          <t>Non-Union</t>
        </is>
      </c>
      <c r="H17" s="15" t="inlineStr">
        <is>
          <t>Deduct Alternates</t>
        </is>
      </c>
      <c r="I17" s="16" t="inlineStr">
        <is>
          <t>USD</t>
        </is>
      </c>
      <c r="J17" s="27" t="n">
        <v>0</v>
      </c>
    </row>
    <row r="18">
      <c r="D18" s="13" t="inlineStr">
        <is>
          <t>LOCATION:</t>
        </is>
      </c>
      <c r="E18" s="14" t="inlineStr">
        <is>
          <t>Ralph Lauren Boca Raton — Town Center space 1062</t>
        </is>
      </c>
    </row>
    <row r="19">
      <c r="D19" s="13" t="inlineStr">
        <is>
          <t>GC:</t>
        </is>
      </c>
      <c r="E19" s="14" t="inlineStr">
        <is>
          <t>LUX Brand Company</t>
        </is>
      </c>
    </row>
    <row r="22" ht="27.75" customHeight="1">
      <c r="A22" s="18" t="n"/>
      <c r="B22" s="18" t="inlineStr">
        <is>
          <t>CSI Code</t>
        </is>
      </c>
      <c r="C22" s="18" t="n"/>
      <c r="D22" s="18" t="inlineStr">
        <is>
          <t>Description</t>
        </is>
      </c>
      <c r="E22" s="18" t="inlineStr">
        <is>
          <t>Notes</t>
        </is>
      </c>
      <c r="F22" s="18" t="n"/>
      <c r="G22" s="18" t="n"/>
      <c r="H22" s="18" t="n"/>
      <c r="I22" s="18" t="inlineStr">
        <is>
          <t>Unit</t>
        </is>
      </c>
      <c r="J22" s="18" t="inlineStr">
        <is>
          <t>Costs &amp; Fees</t>
        </is>
      </c>
      <c r="K22" s="18" t="inlineStr">
        <is>
          <t>GC Notes</t>
        </is>
      </c>
    </row>
    <row r="23">
      <c r="D23" s="19" t="inlineStr">
        <is>
          <t>ESCROWS, ALLOWANCES &amp; REIMBURSABLES</t>
        </is>
      </c>
      <c r="I23" s="19" t="inlineStr">
        <is>
          <t>Sub Total</t>
        </is>
      </c>
      <c r="J23" s="12" t="n">
        <v>0</v>
      </c>
    </row>
    <row r="24">
      <c r="B24" s="14" t="inlineStr">
        <is>
          <t>E1.0</t>
        </is>
      </c>
      <c r="D24" s="14" t="inlineStr">
        <is>
          <t>Special Insurances Required by Ralph Lauren</t>
        </is>
      </c>
      <c r="H24" s="20" t="n"/>
      <c r="I24" s="14" t="inlineStr">
        <is>
          <t>ALLOW</t>
        </is>
      </c>
      <c r="J24" s="17" t="n">
        <v>0</v>
      </c>
      <c r="K24" s="20" t="inlineStr">
        <is>
          <t>Standard LBC certificates assumed adequate</t>
        </is>
      </c>
    </row>
    <row r="25">
      <c r="B25" s="14" t="inlineStr">
        <is>
          <t>E2.0</t>
        </is>
      </c>
      <c r="D25" s="14" t="inlineStr">
        <is>
          <t>Performance Bond and/or Sureties</t>
        </is>
      </c>
      <c r="H25" s="20" t="n"/>
      <c r="I25" s="14" t="inlineStr">
        <is>
          <t>ALLOW</t>
        </is>
      </c>
      <c r="J25" s="17" t="n">
        <v>0</v>
      </c>
      <c r="K25" s="20" t="inlineStr">
        <is>
          <t>None required</t>
        </is>
      </c>
    </row>
    <row r="26">
      <c r="B26" s="14" t="inlineStr">
        <is>
          <t>E3.0</t>
        </is>
      </c>
      <c r="D26" s="14" t="inlineStr">
        <is>
          <t>Permits, Fees, Connection Costs, Access Fees, Landlord Fees</t>
        </is>
      </c>
      <c r="H26" s="20" t="n"/>
      <c r="I26" s="14" t="inlineStr">
        <is>
          <t>ALLOW</t>
        </is>
      </c>
      <c r="J26" s="17" t="n">
        <v>0</v>
      </c>
      <c r="K26" s="20" t="inlineStr">
        <is>
          <t>Permit fees excluded — to be invoiced separately</t>
        </is>
      </c>
    </row>
    <row r="27">
      <c r="B27" s="14" t="inlineStr">
        <is>
          <t>E4.0</t>
        </is>
      </c>
      <c r="D27" s="14" t="inlineStr">
        <is>
          <t>Contingency Account or At-Risk Account/Fee</t>
        </is>
      </c>
      <c r="H27" s="20" t="n"/>
      <c r="I27" s="14" t="inlineStr">
        <is>
          <t>ALLOW</t>
        </is>
      </c>
      <c r="J27" s="17" t="n">
        <v>0</v>
      </c>
      <c r="K27" s="20" t="inlineStr">
        <is>
          <t>None</t>
        </is>
      </c>
    </row>
    <row r="28">
      <c r="B28" s="14" t="inlineStr">
        <is>
          <t>E5.0</t>
        </is>
      </c>
      <c r="D28" s="14" t="inlineStr">
        <is>
          <t>Sales Tax (district, local, state)</t>
        </is>
      </c>
      <c r="H28" s="20" t="inlineStr">
        <is>
          <t>Specify if included in subs</t>
        </is>
      </c>
      <c r="I28" s="14" t="inlineStr">
        <is>
          <t>ALLOW</t>
        </is>
      </c>
      <c r="J28" s="17" t="n">
        <v>0</v>
      </c>
      <c r="K28" s="20" t="inlineStr">
        <is>
          <t>Sales tax invoiced separately per contract — not included</t>
        </is>
      </c>
    </row>
    <row r="30">
      <c r="B30" s="21" t="inlineStr">
        <is>
          <t>00 / 01</t>
        </is>
      </c>
      <c r="D30" s="21" t="inlineStr">
        <is>
          <t>PROCUREMENT &amp; GENERAL REQUIREMENTS</t>
        </is>
      </c>
      <c r="J30" s="22">
        <f>J32+J35+J40+J52</f>
        <v/>
      </c>
    </row>
    <row r="32">
      <c r="B32" s="19" t="inlineStr">
        <is>
          <t>A</t>
        </is>
      </c>
      <c r="D32" s="19" t="inlineStr">
        <is>
          <t>OVERHEAD &amp; PROFIT (OH&amp;P)</t>
        </is>
      </c>
      <c r="I32" s="19" t="inlineStr">
        <is>
          <t>Sub Total</t>
        </is>
      </c>
      <c r="J32" s="26">
        <f>J33</f>
        <v/>
      </c>
    </row>
    <row r="33" ht="28" customHeight="1">
      <c r="B33" s="14" t="inlineStr">
        <is>
          <t>A-1</t>
        </is>
      </c>
      <c r="D33" s="14" t="inlineStr">
        <is>
          <t>Overhead &amp; Profit</t>
        </is>
      </c>
      <c r="H33" s="28">
        <f>J35+J40+J52</f>
        <v/>
      </c>
      <c r="I33" s="111" t="n">
        <v>0.1</v>
      </c>
      <c r="J33" s="28">
        <f>H33*I33</f>
        <v/>
      </c>
      <c r="K33" s="83" t="inlineStr">
        <is>
          <t>10% CM / overhead &amp; profit.</t>
        </is>
      </c>
    </row>
    <row r="35">
      <c r="B35" s="19" t="inlineStr">
        <is>
          <t>B</t>
        </is>
      </c>
      <c r="D35" s="19" t="inlineStr">
        <is>
          <t>GENERAL CONTRACTOR OVERHEAD</t>
        </is>
      </c>
      <c r="I35" s="19" t="inlineStr">
        <is>
          <t>Sub Total</t>
        </is>
      </c>
      <c r="J35" s="12">
        <f>J36+J37+J38</f>
        <v/>
      </c>
    </row>
    <row r="36" ht="28" customHeight="1">
      <c r="B36" s="14" t="inlineStr">
        <is>
          <t>B-2</t>
        </is>
      </c>
      <c r="D36" s="14" t="inlineStr">
        <is>
          <t>Main Office Overhead Rate (excl. project payroll)</t>
        </is>
      </c>
      <c r="H36" s="28">
        <f>J40+J52</f>
        <v/>
      </c>
      <c r="I36" s="84" t="n"/>
      <c r="J36" s="28">
        <f>H36*I36</f>
        <v/>
      </c>
      <c r="K36" s="83" t="n"/>
    </row>
    <row r="37" ht="28" customHeight="1">
      <c r="B37" s="14" t="inlineStr">
        <is>
          <t>B-3</t>
        </is>
      </c>
      <c r="D37" s="14" t="inlineStr">
        <is>
          <t>Liability Insurance</t>
        </is>
      </c>
      <c r="H37" s="28">
        <f>J40+J52+J36</f>
        <v/>
      </c>
      <c r="I37" s="111" t="n">
        <v>0.015</v>
      </c>
      <c r="J37" s="28">
        <f>H37*I37</f>
        <v/>
      </c>
      <c r="K37" s="83" t="inlineStr">
        <is>
          <t>1.5% liability insurance. Workers' compensation 1.2% is row C-7.</t>
        </is>
      </c>
    </row>
    <row r="38" ht="28" customHeight="1">
      <c r="B38" s="14" t="inlineStr">
        <is>
          <t>B-4</t>
        </is>
      </c>
      <c r="D38" s="14" t="inlineStr">
        <is>
          <t>12-Month Owner-Required Warranty</t>
        </is>
      </c>
      <c r="H38" s="28">
        <f>J40+J52</f>
        <v/>
      </c>
      <c r="I38" s="84" t="n"/>
      <c r="J38" s="28">
        <f>H38*I38</f>
        <v/>
      </c>
      <c r="K38" s="83" t="n"/>
    </row>
    <row r="40">
      <c r="B40" s="19" t="inlineStr">
        <is>
          <t>C</t>
        </is>
      </c>
      <c r="D40" s="19" t="inlineStr">
        <is>
          <t>GENERAL CONTRACTOR DEDICATED ON-SITE PAYROLL</t>
        </is>
      </c>
      <c r="I40" s="19" t="inlineStr">
        <is>
          <t>Total</t>
        </is>
      </c>
      <c r="J40" s="12">
        <f>J42+J41</f>
        <v/>
      </c>
    </row>
    <row r="41">
      <c r="D41" s="20" t="inlineStr">
        <is>
          <t>Note: Employee gross pay (no employer markup; OH/payroll taxes/WC computed separately)</t>
        </is>
      </c>
      <c r="I41" s="14" t="inlineStr">
        <is>
          <t>Employer Payroll OH</t>
        </is>
      </c>
      <c r="J41" s="17" t="n">
        <v>0</v>
      </c>
    </row>
    <row r="42">
      <c r="B42" s="14" t="inlineStr">
        <is>
          <t>CC</t>
        </is>
      </c>
      <c r="D42" s="14" t="inlineStr">
        <is>
          <t>Payroll Subtotal (incl. WC)</t>
        </is>
      </c>
      <c r="I42" s="14" t="inlineStr">
        <is>
          <t>Subtotal</t>
        </is>
      </c>
      <c r="J42" s="28">
        <f>SUM(J44:J49)</f>
        <v/>
      </c>
    </row>
    <row r="43">
      <c r="E43" s="6" t="inlineStr">
        <is>
          <t>Rate $/wk</t>
        </is>
      </c>
      <c r="G43" s="6" t="inlineStr">
        <is>
          <t>Weeks</t>
        </is>
      </c>
      <c r="J43" s="20" t="inlineStr">
        <is>
          <t>Total</t>
        </is>
      </c>
    </row>
    <row r="44" ht="28" customHeight="1">
      <c r="B44" s="14" t="inlineStr">
        <is>
          <t>C-1</t>
        </is>
      </c>
      <c r="D44" s="14" t="inlineStr">
        <is>
          <t>On Site Laborer (full time)</t>
        </is>
      </c>
      <c r="E44" s="17" t="n">
        <v>2000</v>
      </c>
      <c r="F44" s="20" t="inlineStr">
        <is>
          <t>Per Week</t>
        </is>
      </c>
      <c r="G44" s="39" t="n"/>
      <c r="H44" s="20" t="inlineStr">
        <is>
          <t>Weeks</t>
        </is>
      </c>
      <c r="I44" s="20" t="inlineStr">
        <is>
          <t>TOTAL</t>
        </is>
      </c>
      <c r="J44" s="28">
        <f>E44*G44</f>
        <v/>
      </c>
      <c r="K44" s="83" t="n"/>
    </row>
    <row r="45" ht="28" customHeight="1">
      <c r="B45" s="14" t="inlineStr">
        <is>
          <t>C-2</t>
        </is>
      </c>
      <c r="D45" s="14" t="inlineStr">
        <is>
          <t>On Site Laborer — Store Setup Support</t>
        </is>
      </c>
      <c r="E45" s="85" t="n">
        <v>0</v>
      </c>
      <c r="F45" s="20" t="inlineStr">
        <is>
          <t>Per Week</t>
        </is>
      </c>
      <c r="G45" s="86" t="n">
        <v>0</v>
      </c>
      <c r="H45" s="20" t="inlineStr">
        <is>
          <t>Weeks</t>
        </is>
      </c>
      <c r="I45" s="20" t="inlineStr">
        <is>
          <t>TOTAL</t>
        </is>
      </c>
      <c r="J45" s="28">
        <f>E45*G45</f>
        <v/>
      </c>
      <c r="K45" s="30" t="inlineStr">
        <is>
          <t>Not used on this project (zeroed).</t>
        </is>
      </c>
    </row>
    <row r="46">
      <c r="B46" s="14" t="inlineStr">
        <is>
          <t>C-3</t>
        </is>
      </c>
      <c r="D46" s="14" t="inlineStr">
        <is>
          <t>On Site Laborer (part time)</t>
        </is>
      </c>
      <c r="E46" s="17" t="n">
        <v>0</v>
      </c>
      <c r="F46" s="20" t="inlineStr">
        <is>
          <t>Per Week</t>
        </is>
      </c>
      <c r="G46" s="24" t="n">
        <v>0</v>
      </c>
      <c r="H46" s="20" t="inlineStr">
        <is>
          <t>Weeks</t>
        </is>
      </c>
      <c r="I46" s="20" t="inlineStr">
        <is>
          <t>TOTAL</t>
        </is>
      </c>
      <c r="J46" s="17">
        <f>E46*G46</f>
        <v/>
      </c>
    </row>
    <row r="47">
      <c r="B47" s="14" t="inlineStr">
        <is>
          <t>C-4</t>
        </is>
      </c>
      <c r="D47" s="14" t="inlineStr">
        <is>
          <t>Field Engineer</t>
        </is>
      </c>
      <c r="E47" s="17" t="n">
        <v>0</v>
      </c>
      <c r="F47" s="20" t="inlineStr">
        <is>
          <t>Per Week</t>
        </is>
      </c>
      <c r="G47" s="24" t="n">
        <v>0</v>
      </c>
      <c r="H47" s="20" t="inlineStr">
        <is>
          <t>Weeks</t>
        </is>
      </c>
      <c r="I47" s="20" t="inlineStr">
        <is>
          <t>TOTAL</t>
        </is>
      </c>
      <c r="J47" s="17">
        <f>E47*G47</f>
        <v/>
      </c>
    </row>
    <row r="48" ht="28" customHeight="1">
      <c r="B48" s="14" t="inlineStr">
        <is>
          <t>C-5</t>
        </is>
      </c>
      <c r="D48" s="14" t="inlineStr">
        <is>
          <t>Project Manager</t>
        </is>
      </c>
      <c r="E48" s="17" t="n">
        <v>3500</v>
      </c>
      <c r="F48" s="20" t="inlineStr">
        <is>
          <t>Per Week</t>
        </is>
      </c>
      <c r="G48" s="39" t="n"/>
      <c r="H48" s="20" t="inlineStr">
        <is>
          <t>Weeks</t>
        </is>
      </c>
      <c r="I48" s="20" t="inlineStr">
        <is>
          <t>TOTAL</t>
        </is>
      </c>
      <c r="J48" s="28">
        <f>E48*G48</f>
        <v/>
      </c>
      <c r="K48" s="83" t="n"/>
    </row>
    <row r="49" ht="28" customHeight="1">
      <c r="B49" s="14" t="inlineStr">
        <is>
          <t>C-6</t>
        </is>
      </c>
      <c r="D49" s="14" t="inlineStr">
        <is>
          <t>Superintendent</t>
        </is>
      </c>
      <c r="E49" s="112" t="n">
        <v>4400</v>
      </c>
      <c r="F49" s="20" t="inlineStr">
        <is>
          <t>Per Week</t>
        </is>
      </c>
      <c r="G49" s="113" t="n">
        <v>21</v>
      </c>
      <c r="H49" s="20" t="inlineStr">
        <is>
          <t>Weeks</t>
        </is>
      </c>
      <c r="I49" s="20" t="inlineStr">
        <is>
          <t>TOTAL</t>
        </is>
      </c>
      <c r="J49" s="28">
        <f>E49*G49</f>
        <v/>
      </c>
      <c r="K49" s="83" t="inlineStr">
        <is>
          <t>$4,400 per week × 21 weeks.</t>
        </is>
      </c>
    </row>
    <row r="50">
      <c r="B50" s="14" t="inlineStr">
        <is>
          <t>C-7</t>
        </is>
      </c>
      <c r="D50" s="14" t="inlineStr">
        <is>
          <t>Workers Compensation (% of payroll subtotal)</t>
        </is>
      </c>
      <c r="E50" s="23" t="n">
        <v>0.012</v>
      </c>
      <c r="F50" s="20" t="inlineStr">
        <is>
          <t>Rate</t>
        </is>
      </c>
      <c r="G50" s="17">
        <f>SUM(J44:J49)</f>
        <v/>
      </c>
      <c r="H50" s="20" t="inlineStr">
        <is>
          <t>× Subtotal</t>
        </is>
      </c>
      <c r="I50" s="20" t="inlineStr">
        <is>
          <t>TOTAL</t>
        </is>
      </c>
      <c r="J50" s="28">
        <f>E50*J42</f>
        <v/>
      </c>
      <c r="K50" t="inlineStr">
        <is>
          <t>1.2% of on-site payroll. Separate from B-3 liability insurance.</t>
        </is>
      </c>
    </row>
    <row r="52">
      <c r="B52" s="19" t="inlineStr">
        <is>
          <t>D</t>
        </is>
      </c>
      <c r="D52" s="19" t="inlineStr">
        <is>
          <t>GENERAL REQUIREMENTS WORK</t>
        </is>
      </c>
      <c r="I52" s="19" t="inlineStr">
        <is>
          <t>Total</t>
        </is>
      </c>
      <c r="J52" s="12">
        <f>J54+J53</f>
        <v/>
      </c>
    </row>
    <row r="53">
      <c r="I53" s="14" t="inlineStr">
        <is>
          <t>Mark-Up</t>
        </is>
      </c>
      <c r="J53" s="17" t="n">
        <v>0</v>
      </c>
    </row>
    <row r="54">
      <c r="B54" s="14" t="inlineStr">
        <is>
          <t>DD</t>
        </is>
      </c>
      <c r="I54" s="14" t="inlineStr">
        <is>
          <t>Sub Total</t>
        </is>
      </c>
      <c r="J54" s="17" t="n">
        <v>0</v>
      </c>
    </row>
    <row r="55">
      <c r="B55" s="14" t="inlineStr">
        <is>
          <t>D-1</t>
        </is>
      </c>
      <c r="D55" s="14" t="inlineStr">
        <is>
          <t>Materials, travel, supplies, small tools, and consumables</t>
        </is>
      </c>
      <c r="I55" s="14" t="inlineStr">
        <is>
          <t>T&amp;M / ALLOW</t>
        </is>
      </c>
      <c r="J55" s="17" t="n">
        <v>0</v>
      </c>
      <c r="K55" s="20" t="inlineStr">
        <is>
          <t>General conditions</t>
        </is>
      </c>
    </row>
    <row r="56">
      <c r="B56" s="14" t="inlineStr">
        <is>
          <t>D-2</t>
        </is>
      </c>
      <c r="D56" s="14" t="inlineStr">
        <is>
          <t>Construction documentation and submittals</t>
        </is>
      </c>
      <c r="I56" s="14" t="inlineStr">
        <is>
          <t>T&amp;M / ALLOW</t>
        </is>
      </c>
      <c r="J56" s="17" t="n">
        <v>0</v>
      </c>
    </row>
    <row r="57">
      <c r="B57" s="14" t="inlineStr">
        <is>
          <t>D-3</t>
        </is>
      </c>
      <c r="D57" s="14" t="inlineStr">
        <is>
          <t>Independent testing and inspecting services</t>
        </is>
      </c>
      <c r="I57" s="14" t="inlineStr">
        <is>
          <t>T&amp;M / ALLOW</t>
        </is>
      </c>
      <c r="J57" s="17" t="n">
        <v>0</v>
      </c>
      <c r="K57" s="20" t="inlineStr">
        <is>
          <t>All testing by others — see Add Alternates</t>
        </is>
      </c>
    </row>
    <row r="58">
      <c r="B58" s="14" t="inlineStr">
        <is>
          <t>D-4</t>
        </is>
      </c>
      <c r="D58" s="14" t="inlineStr">
        <is>
          <t>X-ray concrete slabs / GPR / exploratory items</t>
        </is>
      </c>
      <c r="I58" s="14" t="inlineStr">
        <is>
          <t>T&amp;M / ALLOW</t>
        </is>
      </c>
      <c r="J58" s="17" t="n">
        <v>0</v>
      </c>
      <c r="K58" s="20" t="inlineStr">
        <is>
          <t>Included in Div 03 80 00</t>
        </is>
      </c>
    </row>
    <row r="59">
      <c r="B59" s="14" t="inlineStr">
        <is>
          <t>D-5</t>
        </is>
      </c>
      <c r="D59" s="14" t="inlineStr">
        <is>
          <t>Temporary utilities</t>
        </is>
      </c>
      <c r="I59" s="14" t="inlineStr">
        <is>
          <t>T&amp;M / ALLOW</t>
        </is>
      </c>
      <c r="J59" s="17" t="n">
        <v>0</v>
      </c>
      <c r="K59" s="20" t="inlineStr">
        <is>
          <t>By Landlord</t>
        </is>
      </c>
    </row>
    <row r="60">
      <c r="B60" s="14" t="inlineStr">
        <is>
          <t>D-6</t>
        </is>
      </c>
      <c r="D60" s="14" t="inlineStr">
        <is>
          <t>Temporary storage / staging space</t>
        </is>
      </c>
      <c r="I60" s="14" t="inlineStr">
        <is>
          <t>T&amp;M / ALLOW</t>
        </is>
      </c>
      <c r="J60" s="17" t="n">
        <v>0</v>
      </c>
    </row>
    <row r="61">
      <c r="B61" s="14" t="inlineStr">
        <is>
          <t>D-7</t>
        </is>
      </c>
      <c r="D61" s="14" t="inlineStr">
        <is>
          <t>Field office expense / WiFi</t>
        </is>
      </c>
      <c r="I61" s="14" t="inlineStr">
        <is>
          <t>T&amp;M / ALLOW</t>
        </is>
      </c>
      <c r="J61" s="17" t="n">
        <v>0</v>
      </c>
    </row>
    <row r="62">
      <c r="B62" s="14" t="inlineStr">
        <is>
          <t>D-8</t>
        </is>
      </c>
      <c r="D62" s="14" t="inlineStr">
        <is>
          <t>Vehicular access, traffic control &amp; parking</t>
        </is>
      </c>
      <c r="I62" s="14" t="inlineStr">
        <is>
          <t>T&amp;M / ALLOW</t>
        </is>
      </c>
      <c r="J62" s="17" t="n">
        <v>0</v>
      </c>
    </row>
    <row r="63">
      <c r="B63" s="14" t="inlineStr">
        <is>
          <t>D-9</t>
        </is>
      </c>
      <c r="D63" s="14" t="inlineStr">
        <is>
          <t>Roads and sidewalks, temporary</t>
        </is>
      </c>
      <c r="I63" s="14" t="inlineStr">
        <is>
          <t>T&amp;M / ALLOW</t>
        </is>
      </c>
      <c r="J63" s="17" t="n">
        <v>0</v>
      </c>
    </row>
    <row r="64">
      <c r="B64" s="14" t="inlineStr">
        <is>
          <t>D-10</t>
        </is>
      </c>
      <c r="D64" s="14" t="inlineStr">
        <is>
          <t>Temporary barriers, enclosures, barricades</t>
        </is>
      </c>
      <c r="I64" s="14" t="inlineStr">
        <is>
          <t>T&amp;M / ALLOW</t>
        </is>
      </c>
      <c r="J64" s="17" t="n">
        <v>0</v>
      </c>
      <c r="K64" s="20" t="inlineStr">
        <is>
          <t>Mall barricades by Landlord</t>
        </is>
      </c>
    </row>
    <row r="65">
      <c r="B65" s="14" t="inlineStr">
        <is>
          <t>D-11</t>
        </is>
      </c>
      <c r="D65" s="14" t="inlineStr">
        <is>
          <t>Temporary security</t>
        </is>
      </c>
      <c r="I65" s="14" t="inlineStr">
        <is>
          <t>T&amp;M / ALLOW</t>
        </is>
      </c>
      <c r="J65" s="17" t="n">
        <v>0</v>
      </c>
    </row>
    <row r="66">
      <c r="B66" s="14" t="inlineStr">
        <is>
          <t>D-12</t>
        </is>
      </c>
      <c r="D66" s="14" t="inlineStr">
        <is>
          <t>Temporary protective walkways</t>
        </is>
      </c>
      <c r="I66" s="14" t="inlineStr">
        <is>
          <t>T&amp;M / ALLOW</t>
        </is>
      </c>
      <c r="J66" s="17" t="n">
        <v>0</v>
      </c>
    </row>
    <row r="67">
      <c r="B67" s="14" t="inlineStr">
        <is>
          <t>D-13</t>
        </is>
      </c>
      <c r="D67" s="14" t="inlineStr">
        <is>
          <t>Temporary fencing</t>
        </is>
      </c>
      <c r="I67" s="14" t="inlineStr">
        <is>
          <t>T&amp;M / ALLOW</t>
        </is>
      </c>
      <c r="J67" s="17" t="n">
        <v>0</v>
      </c>
    </row>
    <row r="68">
      <c r="B68" s="14" t="inlineStr">
        <is>
          <t>D-14</t>
        </is>
      </c>
      <c r="D68" s="14" t="inlineStr">
        <is>
          <t>Temporary project signage</t>
        </is>
      </c>
      <c r="I68" s="14" t="inlineStr">
        <is>
          <t>T&amp;M / ALLOW</t>
        </is>
      </c>
      <c r="J68" s="17" t="n">
        <v>0</v>
      </c>
    </row>
    <row r="69">
      <c r="B69" s="14" t="inlineStr">
        <is>
          <t>D-15</t>
        </is>
      </c>
      <c r="D69" s="14" t="inlineStr">
        <is>
          <t>Equipment (cranes, hoists, lifts)</t>
        </is>
      </c>
      <c r="I69" s="14" t="inlineStr">
        <is>
          <t>T&amp;M / ALLOW</t>
        </is>
      </c>
      <c r="J69" s="17" t="n">
        <v>0</v>
      </c>
    </row>
    <row r="70">
      <c r="B70" s="14" t="inlineStr">
        <is>
          <t>D-16</t>
        </is>
      </c>
      <c r="D70" s="14" t="inlineStr">
        <is>
          <t>Field engineering / professional expenses / Permit Fees</t>
        </is>
      </c>
      <c r="H70" s="20" t="inlineStr">
        <is>
          <t>Permit fees NOT included in this pricing</t>
        </is>
      </c>
      <c r="I70" s="14" t="inlineStr">
        <is>
          <t>T&amp;M / ALLOW</t>
        </is>
      </c>
      <c r="J70" s="17" t="n">
        <v>0</v>
      </c>
      <c r="K70" s="20" t="inlineStr">
        <is>
          <t>Permit fees excluded</t>
        </is>
      </c>
    </row>
    <row r="71">
      <c r="B71" s="14" t="inlineStr">
        <is>
          <t>D-17</t>
        </is>
      </c>
      <c r="D71" s="14" t="inlineStr">
        <is>
          <t>Progress cleaning and debris removal</t>
        </is>
      </c>
      <c r="I71" s="14" t="inlineStr">
        <is>
          <t>T&amp;M / ALLOW</t>
        </is>
      </c>
      <c r="J71" s="17" t="n">
        <v>0</v>
      </c>
      <c r="K71" s="20" t="inlineStr">
        <is>
          <t>Daily site cleanup by GC</t>
        </is>
      </c>
    </row>
    <row r="72">
      <c r="B72" s="14" t="inlineStr">
        <is>
          <t>D-18</t>
        </is>
      </c>
      <c r="D72" s="14" t="inlineStr">
        <is>
          <t>Final clean by GC at end of job</t>
        </is>
      </c>
      <c r="I72" s="14" t="inlineStr">
        <is>
          <t>T&amp;M / ALLOW</t>
        </is>
      </c>
      <c r="J72" s="17" t="n">
        <v>0</v>
      </c>
      <c r="K72" s="20" t="inlineStr">
        <is>
          <t>Two cleans — pre-handover and pre-opening</t>
        </is>
      </c>
    </row>
    <row r="73">
      <c r="B73" s="14" t="inlineStr">
        <is>
          <t>D-19</t>
        </is>
      </c>
      <c r="D73" s="14" t="inlineStr">
        <is>
          <t>Temporary protection, dust control, tarping</t>
        </is>
      </c>
      <c r="I73" s="14" t="inlineStr">
        <is>
          <t>T&amp;M / ALLOW</t>
        </is>
      </c>
      <c r="J73" s="17" t="n">
        <v>0</v>
      </c>
      <c r="K73" s="20" t="inlineStr">
        <is>
          <t>Floor protection and dust control</t>
        </is>
      </c>
    </row>
    <row r="74">
      <c r="B74" s="14" t="inlineStr">
        <is>
          <t>D-20</t>
        </is>
      </c>
      <c r="D74" s="14" t="inlineStr">
        <is>
          <t>Building commissioning, turnover, lien releases</t>
        </is>
      </c>
      <c r="I74" s="14" t="inlineStr">
        <is>
          <t>T&amp;M / ALLOW</t>
        </is>
      </c>
      <c r="J74" s="17" t="n">
        <v>0</v>
      </c>
    </row>
    <row r="75">
      <c r="B75" s="14" t="inlineStr">
        <is>
          <t>D-21</t>
        </is>
      </c>
      <c r="D75" s="14" t="inlineStr">
        <is>
          <t>Travel expense</t>
        </is>
      </c>
      <c r="I75" s="14" t="inlineStr">
        <is>
          <t>T&amp;M / ALLOW</t>
        </is>
      </c>
      <c r="J75" s="17" t="n">
        <v>0</v>
      </c>
      <c r="K75" s="83" t="n"/>
    </row>
    <row r="76" ht="28" customHeight="1">
      <c r="B76" s="14" t="inlineStr">
        <is>
          <t>D-22</t>
        </is>
      </c>
      <c r="D76" s="14" t="inlineStr">
        <is>
          <t>Mall non-refundable site fees</t>
        </is>
      </c>
      <c r="H76" s="20" t="inlineStr">
        <is>
          <t>Sprinkler shut-down fees etc.</t>
        </is>
      </c>
      <c r="I76" s="14" t="inlineStr">
        <is>
          <t>T&amp;M / ALLOW</t>
        </is>
      </c>
      <c r="J76" s="17" t="n">
        <v>0</v>
      </c>
      <c r="K76" s="30" t="inlineStr">
        <is>
          <t>Mall site-fee unit rates are on MALL FEES. Permit fees and sales tax invoiced separately.</t>
        </is>
      </c>
    </row>
    <row r="80">
      <c r="D80" s="19" t="inlineStr">
        <is>
          <t>HARD COST SUBTOTAL</t>
        </is>
      </c>
      <c r="J80" s="26">
        <f>J32+J35+J40+J52</f>
        <v/>
      </c>
    </row>
  </sheetData>
  <mergeCells count="41">
    <mergeCell ref="D56:G56"/>
    <mergeCell ref="D71:G71"/>
    <mergeCell ref="D35:H35"/>
    <mergeCell ref="D58:G58"/>
    <mergeCell ref="D25:G25"/>
    <mergeCell ref="D74:G74"/>
    <mergeCell ref="D68:G68"/>
    <mergeCell ref="D24:G24"/>
    <mergeCell ref="D64:G64"/>
    <mergeCell ref="D33:G33"/>
    <mergeCell ref="D55:G55"/>
    <mergeCell ref="D67:G67"/>
    <mergeCell ref="D73:G73"/>
    <mergeCell ref="D40:H40"/>
    <mergeCell ref="D38:G38"/>
    <mergeCell ref="D52:H52"/>
    <mergeCell ref="D26:G26"/>
    <mergeCell ref="D59:G59"/>
    <mergeCell ref="E18:K18"/>
    <mergeCell ref="D69:G69"/>
    <mergeCell ref="D60:G60"/>
    <mergeCell ref="D41:H41"/>
    <mergeCell ref="D63:G63"/>
    <mergeCell ref="D32:H32"/>
    <mergeCell ref="D30:I30"/>
    <mergeCell ref="D65:G65"/>
    <mergeCell ref="D36:G36"/>
    <mergeCell ref="D57:G57"/>
    <mergeCell ref="D27:G27"/>
    <mergeCell ref="D76:G76"/>
    <mergeCell ref="D70:G70"/>
    <mergeCell ref="D61:G61"/>
    <mergeCell ref="D75:G75"/>
    <mergeCell ref="D66:G66"/>
    <mergeCell ref="D42:H42"/>
    <mergeCell ref="D80:I80"/>
    <mergeCell ref="D72:G72"/>
    <mergeCell ref="D23:H23"/>
    <mergeCell ref="D37:G37"/>
    <mergeCell ref="D28:G28"/>
    <mergeCell ref="D62:G62"/>
  </mergeCells>
  <printOptions horizontalCentered="1"/>
  <pageMargins left="0.5" right="0.5" top="0.7" bottom="0.6" header="0.3" footer="0.3"/>
  <pageSetup orientation="landscape" fitToHeight="0" fitToWidth="1" horizontalDpi="300" verticalDpi="300"/>
  <headerFooter>
    <oddHeader>&amp;LLUX Brand Company&amp;CRalph Lauren — Town Center at Boca Raton, Simon space 1062&amp;RGC Bid Form  |  cost-plus CM  |  first draft</oddHeader>
    <oddFooter>&amp;LLUX Brand Company&amp;CNot a lump-sum bid  |  yellow cells are OPEN&amp;RPage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E599"/>
    <outlinePr summaryBelow="1" summaryRight="1"/>
    <pageSetUpPr fitToPage="1"/>
  </sheetPr>
  <dimension ref="B1:G4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58" customWidth="1" min="3" max="3"/>
    <col width="18" customWidth="1" min="4" max="4"/>
    <col width="16" customWidth="1" min="5" max="5"/>
    <col width="14" customWidth="1" min="6" max="6"/>
    <col width="62" customWidth="1" min="7" max="7"/>
  </cols>
  <sheetData>
    <row r="1" ht="24" customHeight="1">
      <c r="B1" s="87" t="inlineStr">
        <is>
          <t>Ralph Lauren Boca Raton Town Center 1062 — CM Fee Budget Breakdown</t>
        </is>
      </c>
    </row>
    <row r="2" ht="28" customHeight="1">
      <c r="B2" s="37" t="inlineStr">
        <is>
          <t>LUX Brand Company  |  Cost-plus CM + GC (open book, not lump sum)  |  Town Center at Boca Raton, Simon space 1062, 600 Glades Road  |  3,384 sf</t>
        </is>
      </c>
    </row>
    <row r="3" ht="28" customHeight="1">
      <c r="B3" s="37" t="inlineStr">
        <is>
          <t>Owner's representative: Charrette MG — Landis Kauffman, Claudia Mardones.  Payment: Ralph Lauren policy net 90.  Permit fees excluded / invoiced separately.  Sales tax invoiced separately.</t>
        </is>
      </c>
    </row>
    <row r="4">
      <c r="B4" s="38" t="inlineStr">
        <is>
          <t>Duration (weeks)</t>
        </is>
      </c>
    </row>
    <row r="5" ht="32" customHeight="1">
      <c r="B5" s="113" t="n">
        <v>21</v>
      </c>
      <c r="C5" s="40" t="inlineStr">
        <is>
          <t>Weeks (single duration input for this form)</t>
        </is>
      </c>
      <c r="G5" s="83" t="inlineStr">
        <is>
          <t>21 weeks.</t>
        </is>
      </c>
    </row>
    <row r="7">
      <c r="B7" s="41" t="inlineStr">
        <is>
          <t>COMMERCIAL TERMS</t>
        </is>
      </c>
    </row>
    <row r="8">
      <c r="C8" s="88" t="inlineStr">
        <is>
          <t>Item</t>
        </is>
      </c>
      <c r="E8" s="88" t="inlineStr">
        <is>
          <t>Input</t>
        </is>
      </c>
      <c r="G8" s="88" t="inlineStr">
        <is>
          <t>Status</t>
        </is>
      </c>
    </row>
    <row r="9">
      <c r="C9" s="40" t="inlineStr">
        <is>
          <t>Pre-construction fee</t>
        </is>
      </c>
      <c r="E9" s="44" t="n"/>
      <c r="G9" s="83" t="inlineStr">
        <is>
          <t>1% of project total, payable with first pay application / NTP.</t>
        </is>
      </c>
    </row>
    <row r="11" ht="32" customHeight="1">
      <c r="C11" s="45" t="inlineStr">
        <is>
          <t>Weekly GC &amp; supervision $</t>
        </is>
      </c>
      <c r="E11" s="112" t="n">
        <v>4400</v>
      </c>
      <c r="G11" s="83" t="inlineStr">
        <is>
          <t>$4,400 per week superintendent.</t>
        </is>
      </c>
    </row>
    <row r="12" ht="22" customHeight="1">
      <c r="C12" s="40" t="inlineStr">
        <is>
          <t>CM Fee % of cost of work</t>
        </is>
      </c>
      <c r="E12" s="114" t="n">
        <v>0.1</v>
      </c>
      <c r="G12" s="83" t="inlineStr">
        <is>
          <t>10% of cost of work.</t>
        </is>
      </c>
    </row>
    <row r="13" ht="22" customHeight="1">
      <c r="C13" s="40" t="inlineStr">
        <is>
          <t>Insurance %</t>
        </is>
      </c>
      <c r="E13" s="114" t="n">
        <v>0.015</v>
      </c>
      <c r="G13" s="83" t="inlineStr">
        <is>
          <t>1.5% liability insurance. Workers' compensation is on the GC bid form payroll row.</t>
        </is>
      </c>
    </row>
    <row r="15">
      <c r="C15" s="40" t="inlineStr">
        <is>
          <t>CO CM Fee % (follows project CM fee)</t>
        </is>
      </c>
      <c r="E15" s="128">
        <f>E12</f>
        <v/>
      </c>
      <c r="G15" s="48" t="inlineStr">
        <is>
          <t>Follows project CM fee.</t>
        </is>
      </c>
    </row>
    <row r="16">
      <c r="C16" s="40" t="inlineStr">
        <is>
          <t>CO Insurance % (follows project insurance)</t>
        </is>
      </c>
      <c r="E16" s="47">
        <f>E13</f>
        <v/>
      </c>
      <c r="G16" s="48" t="inlineStr">
        <is>
          <t>Follows project insurance.</t>
        </is>
      </c>
    </row>
    <row r="18">
      <c r="B18" s="42" t="inlineStr">
        <is>
          <t>TRADE PACKAGES — amounts entered when bids are received</t>
        </is>
      </c>
    </row>
    <row r="19">
      <c r="B19" s="49" t="inlineStr">
        <is>
          <t>#</t>
        </is>
      </c>
      <c r="C19" s="49" t="inlineStr">
        <is>
          <t>Description</t>
        </is>
      </c>
      <c r="D19" s="49" t="inlineStr">
        <is>
          <t>Amount</t>
        </is>
      </c>
    </row>
    <row r="20">
      <c r="B20" s="50" t="n">
        <v>1</v>
      </c>
      <c r="C20" s="51" t="inlineStr">
        <is>
          <t>Trade package 1</t>
        </is>
      </c>
      <c r="D20" s="52" t="n">
        <v>0</v>
      </c>
    </row>
    <row r="21">
      <c r="B21" s="53" t="n">
        <v>2</v>
      </c>
      <c r="C21" s="54" t="inlineStr">
        <is>
          <t>Trade package 2</t>
        </is>
      </c>
      <c r="D21" s="55" t="n">
        <v>0</v>
      </c>
    </row>
    <row r="22">
      <c r="B22" s="50" t="n">
        <v>3</v>
      </c>
      <c r="C22" s="51" t="inlineStr">
        <is>
          <t>Trade package 3</t>
        </is>
      </c>
      <c r="D22" s="52" t="n">
        <v>0</v>
      </c>
    </row>
    <row r="23">
      <c r="B23" s="53" t="n">
        <v>4</v>
      </c>
      <c r="C23" s="54" t="inlineStr">
        <is>
          <t>Trade package 4</t>
        </is>
      </c>
      <c r="D23" s="55" t="n">
        <v>0</v>
      </c>
    </row>
    <row r="24">
      <c r="B24" s="50" t="n">
        <v>5</v>
      </c>
      <c r="C24" s="51" t="inlineStr">
        <is>
          <t>Trade package 5</t>
        </is>
      </c>
      <c r="D24" s="52" t="n">
        <v>0</v>
      </c>
    </row>
    <row r="25">
      <c r="B25" s="53" t="n">
        <v>6</v>
      </c>
      <c r="C25" s="54" t="inlineStr">
        <is>
          <t>Trade package 6</t>
        </is>
      </c>
      <c r="D25" s="55" t="n">
        <v>0</v>
      </c>
    </row>
    <row r="26">
      <c r="B26" s="50" t="n">
        <v>7</v>
      </c>
      <c r="C26" s="51" t="inlineStr">
        <is>
          <t>Trade package 7</t>
        </is>
      </c>
      <c r="D26" s="52" t="n">
        <v>0</v>
      </c>
    </row>
    <row r="27">
      <c r="B27" s="53" t="n">
        <v>8</v>
      </c>
      <c r="C27" s="54" t="inlineStr">
        <is>
          <t>Trade package 8</t>
        </is>
      </c>
      <c r="D27" s="55" t="n">
        <v>0</v>
      </c>
    </row>
    <row r="28">
      <c r="B28" s="50" t="n">
        <v>9</v>
      </c>
      <c r="C28" s="51" t="inlineStr">
        <is>
          <t>Trade package 9</t>
        </is>
      </c>
      <c r="D28" s="52" t="n">
        <v>0</v>
      </c>
    </row>
    <row r="29">
      <c r="B29" s="53" t="n">
        <v>10</v>
      </c>
      <c r="C29" s="54" t="inlineStr">
        <is>
          <t>Trade package 10</t>
        </is>
      </c>
      <c r="D29" s="55" t="n">
        <v>0</v>
      </c>
    </row>
    <row r="30">
      <c r="B30" s="50" t="n">
        <v>11</v>
      </c>
      <c r="C30" s="51" t="inlineStr">
        <is>
          <t>Trade package 11</t>
        </is>
      </c>
      <c r="D30" s="52" t="n">
        <v>0</v>
      </c>
    </row>
    <row r="31">
      <c r="B31" s="53" t="n">
        <v>12</v>
      </c>
      <c r="C31" s="54" t="inlineStr">
        <is>
          <t>Trade package 12</t>
        </is>
      </c>
      <c r="D31" s="55" t="n">
        <v>0</v>
      </c>
    </row>
    <row r="32">
      <c r="B32" s="50" t="n">
        <v>13</v>
      </c>
      <c r="C32" s="51" t="inlineStr">
        <is>
          <t>Trade package 13</t>
        </is>
      </c>
      <c r="D32" s="52" t="n">
        <v>0</v>
      </c>
    </row>
    <row r="33">
      <c r="B33" s="53" t="n">
        <v>14</v>
      </c>
      <c r="C33" s="54" t="inlineStr">
        <is>
          <t>Trade package 14</t>
        </is>
      </c>
      <c r="D33" s="55" t="n">
        <v>0</v>
      </c>
    </row>
    <row r="34">
      <c r="B34" s="50" t="n">
        <v>15</v>
      </c>
      <c r="C34" s="51" t="inlineStr">
        <is>
          <t>Trade package 15</t>
        </is>
      </c>
      <c r="D34" s="52" t="n">
        <v>0</v>
      </c>
    </row>
    <row r="35">
      <c r="B35" s="53" t="n">
        <v>16</v>
      </c>
      <c r="C35" s="54" t="inlineStr">
        <is>
          <t>Trade package 16</t>
        </is>
      </c>
      <c r="D35" s="55" t="n">
        <v>0</v>
      </c>
    </row>
    <row r="36">
      <c r="B36" s="50" t="n">
        <v>17</v>
      </c>
      <c r="C36" s="51" t="inlineStr">
        <is>
          <t>Trade package 17</t>
        </is>
      </c>
      <c r="D36" s="52" t="n">
        <v>0</v>
      </c>
    </row>
    <row r="37">
      <c r="B37" s="53" t="n">
        <v>18</v>
      </c>
      <c r="C37" s="54" t="inlineStr">
        <is>
          <t>Trade package 18</t>
        </is>
      </c>
      <c r="D37" s="55" t="n">
        <v>0</v>
      </c>
    </row>
    <row r="38">
      <c r="B38" s="50" t="n">
        <v>19</v>
      </c>
      <c r="C38" s="51" t="inlineStr">
        <is>
          <t>Trade package 19</t>
        </is>
      </c>
      <c r="D38" s="52" t="n">
        <v>0</v>
      </c>
    </row>
    <row r="39">
      <c r="B39" s="53" t="n">
        <v>20</v>
      </c>
      <c r="C39" s="54" t="inlineStr">
        <is>
          <t>Trade package 20</t>
        </is>
      </c>
      <c r="D39" s="55" t="n">
        <v>0</v>
      </c>
    </row>
    <row r="40">
      <c r="C40" s="56" t="inlineStr">
        <is>
          <t>General Conditions (Weekly GC × Weeks)</t>
        </is>
      </c>
      <c r="D40" s="57">
        <f>IF(OR(E11="",B5=""),0,E11*B5)</f>
        <v/>
      </c>
      <c r="G40" s="30" t="inlineStr">
        <is>
          <t>Weekly superintendent × 21 weeks.</t>
        </is>
      </c>
    </row>
    <row r="41">
      <c r="C41" s="56" t="inlineStr">
        <is>
          <t>CM Fee (fee % × (trades + GC dollars))</t>
        </is>
      </c>
      <c r="D41" s="57">
        <f>IF(E12="",0,E12*(SUM(D20:D39)+D40))</f>
        <v/>
      </c>
      <c r="G41" s="30" t="inlineStr">
        <is>
          <t>10% of trades plus general conditions.</t>
        </is>
      </c>
    </row>
    <row r="42">
      <c r="C42" s="56" t="inlineStr">
        <is>
          <t>Insurance (ins % × (trades + GC dollars))</t>
        </is>
      </c>
      <c r="D42" s="57">
        <f>IF(E13="",0,E13*(SUM(D20:D39)+D40))</f>
        <v/>
      </c>
      <c r="G42" s="30" t="inlineStr">
        <is>
          <t>1.5% of trades plus general conditions.</t>
        </is>
      </c>
    </row>
    <row r="44" ht="22" customHeight="1">
      <c r="B44" s="58" t="inlineStr">
        <is>
          <t>FORM ROLLUP</t>
        </is>
      </c>
      <c r="D44" s="59">
        <f>SUM(D20:D42)</f>
        <v/>
      </c>
      <c r="G44" s="83" t="inlineStr">
        <is>
          <t>Entered commercial terms. Trade-package rows are $0 until bids are received.</t>
        </is>
      </c>
    </row>
    <row r="46" ht="20" customHeight="1">
      <c r="B46" s="60" t="inlineStr">
        <is>
          <t>Cost-plus CM fee form. Duration 21 weeks. Superintendent $4,400/wk. CM fee 10%. Insurance 1.5%. Pre-construction 1% of project total, payable with first pay application / NTP.</t>
        </is>
      </c>
    </row>
    <row r="47" ht="20" customHeight="1"/>
    <row r="48" ht="20" customHeight="1"/>
  </sheetData>
  <autoFilter ref="B19:D39"/>
  <mergeCells count="8">
    <mergeCell ref="B3:G3"/>
    <mergeCell ref="B2:G2"/>
    <mergeCell ref="B44:C44"/>
    <mergeCell ref="B46:G48"/>
    <mergeCell ref="B4:D4"/>
    <mergeCell ref="B1:G1"/>
    <mergeCell ref="B18:D18"/>
    <mergeCell ref="B7:E7"/>
  </mergeCells>
  <printOptions horizontalCentered="1"/>
  <pageMargins left="0.5" right="0.5" top="0.7" bottom="0.6" header="0.3" footer="0.3"/>
  <pageSetup orientation="landscape" paperSize="1" fitToHeight="1" fitToWidth="1"/>
  <headerFooter>
    <oddHeader>&amp;LLUX Brand Company&amp;CRalph Lauren — Town Center at Boca Raton, Simon space 1062&amp;RCost-plus CM / GC  |  first-draft open-book exhibit</oddHeader>
    <oddFooter>&amp;LLUX Brand Company&amp;CNot a lump-sum bid  |  blank commercial inputs are OPEN&amp;RPage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B1:H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42" customWidth="1" min="8" max="8"/>
  </cols>
  <sheetData>
    <row r="1" ht="24" customHeight="1">
      <c r="B1" s="74" t="inlineStr">
        <is>
          <t>Mall fees — Town Center at Boca Raton, 3,384 sf</t>
        </is>
      </c>
    </row>
    <row r="2" ht="28" customHeight="1">
      <c r="B2" s="37" t="inlineStr">
        <is>
          <t>LUX Brand Company  |  Ralph Lauren  |  Town Center at Boca Raton, Simon space 1062  |  Permit fees excluded / invoiced separately  |  Sales tax invoiced separately</t>
        </is>
      </c>
    </row>
    <row r="4">
      <c r="B4" s="56" t="inlineStr">
        <is>
          <t>Area (sf)</t>
        </is>
      </c>
      <c r="C4" s="92" t="n">
        <v>3384</v>
      </c>
      <c r="D4" s="48" t="inlineStr">
        <is>
          <t>Project area used to extend per-square-foot items</t>
        </is>
      </c>
    </row>
    <row r="6">
      <c r="B6" s="64" t="inlineStr">
        <is>
          <t>Item</t>
        </is>
      </c>
      <c r="C6" s="64" t="inlineStr">
        <is>
          <t>Unit rate</t>
        </is>
      </c>
      <c r="D6" s="64" t="inlineStr">
        <is>
          <t>Unit</t>
        </is>
      </c>
      <c r="E6" s="64" t="inlineStr">
        <is>
          <t>Qty</t>
        </is>
      </c>
      <c r="F6" s="64" t="inlineStr">
        <is>
          <t>Extension</t>
        </is>
      </c>
      <c r="G6" s="64" t="inlineStr">
        <is>
          <t>Status</t>
        </is>
      </c>
      <c r="H6" s="64" t="inlineStr">
        <is>
          <t>Notes</t>
        </is>
      </c>
    </row>
    <row r="7" ht="28" customHeight="1">
      <c r="B7" s="78" t="inlineStr">
        <is>
          <t>Temporary electric</t>
        </is>
      </c>
      <c r="C7" s="93" t="n">
        <v>0.43</v>
      </c>
      <c r="D7" s="50" t="inlineStr">
        <is>
          <t>$/sf</t>
        </is>
      </c>
      <c r="E7" s="94" t="n">
        <v>3384</v>
      </c>
      <c r="F7" s="95">
        <f>C7*$C$4</f>
        <v/>
      </c>
      <c r="G7" s="96" t="inlineStr">
        <is>
          <t>Listed</t>
        </is>
      </c>
      <c r="H7" s="97" t="inlineStr">
        <is>
          <t>$0.43/sf × 3,384 sf.</t>
        </is>
      </c>
    </row>
    <row r="8" ht="28" customHeight="1">
      <c r="B8" s="78" t="inlineStr">
        <is>
          <t>Temporary water</t>
        </is>
      </c>
      <c r="C8" s="93" t="n">
        <v>0.1</v>
      </c>
      <c r="D8" s="50" t="inlineStr">
        <is>
          <t>$/sf</t>
        </is>
      </c>
      <c r="E8" s="94" t="n">
        <v>3384</v>
      </c>
      <c r="F8" s="95">
        <f>C8*$C$4</f>
        <v/>
      </c>
      <c r="G8" s="96" t="inlineStr">
        <is>
          <t>Listed</t>
        </is>
      </c>
      <c r="H8" s="97" t="inlineStr">
        <is>
          <t>$0.10/sf × 3,384 sf.</t>
        </is>
      </c>
    </row>
    <row r="9" ht="28" customHeight="1">
      <c r="B9" s="78" t="inlineStr">
        <is>
          <t>After hours</t>
        </is>
      </c>
      <c r="C9" s="93" t="n">
        <v>400</v>
      </c>
      <c r="D9" s="50" t="inlineStr">
        <is>
          <t>one-time</t>
        </is>
      </c>
      <c r="E9" s="98" t="n">
        <v>1</v>
      </c>
      <c r="F9" s="95">
        <f>C9*E9</f>
        <v/>
      </c>
      <c r="G9" s="96" t="inlineStr">
        <is>
          <t>Listed</t>
        </is>
      </c>
      <c r="H9" s="97" t="inlineStr">
        <is>
          <t>$400 one-time.</t>
        </is>
      </c>
    </row>
    <row r="10" ht="28" customHeight="1">
      <c r="B10" s="78" t="inlineStr">
        <is>
          <t>Parking</t>
        </is>
      </c>
      <c r="C10" s="93" t="n">
        <v>250</v>
      </c>
      <c r="D10" s="50" t="inlineStr">
        <is>
          <t>$/month</t>
        </is>
      </c>
      <c r="E10" s="99" t="n"/>
      <c r="F10" s="95">
        <f>IF(E10="","",C10*E10)</f>
        <v/>
      </c>
      <c r="G10" s="90" t="inlineStr">
        <is>
          <t>Qty pending</t>
        </is>
      </c>
      <c r="H10" s="97" t="inlineStr">
        <is>
          <t>$250 per month. Month count to be confirmed.</t>
        </is>
      </c>
    </row>
    <row r="11" ht="28" customHeight="1">
      <c r="B11" s="78" t="inlineStr">
        <is>
          <t>Tenant coordination</t>
        </is>
      </c>
      <c r="C11" s="93" t="n">
        <v>250</v>
      </c>
      <c r="D11" s="50" t="inlineStr">
        <is>
          <t>one-time</t>
        </is>
      </c>
      <c r="E11" s="98" t="n">
        <v>1</v>
      </c>
      <c r="F11" s="95">
        <f>C11*E11</f>
        <v/>
      </c>
      <c r="G11" s="96" t="inlineStr">
        <is>
          <t>Listed</t>
        </is>
      </c>
      <c r="H11" s="97" t="inlineStr">
        <is>
          <t>$250 one-time.</t>
        </is>
      </c>
    </row>
    <row r="12" ht="28" customHeight="1">
      <c r="B12" s="78" t="inlineStr">
        <is>
          <t>Sprinkler shutdown</t>
        </is>
      </c>
      <c r="C12" s="93" t="n">
        <v>250</v>
      </c>
      <c r="D12" s="50" t="inlineStr">
        <is>
          <t>each</t>
        </is>
      </c>
      <c r="E12" s="99" t="n"/>
      <c r="F12" s="95">
        <f>IF(E12="","",C12*E12)</f>
        <v/>
      </c>
      <c r="G12" s="90" t="inlineStr">
        <is>
          <t>Qty pending</t>
        </is>
      </c>
      <c r="H12" s="97" t="inlineStr">
        <is>
          <t>$250 each. Count to be confirmed.</t>
        </is>
      </c>
    </row>
    <row r="14">
      <c r="B14" s="100" t="inlineStr">
        <is>
          <t>Permit fees</t>
        </is>
      </c>
      <c r="C14" s="101" t="inlineStr">
        <is>
          <t>Excluded / invoiced separately. Not extended on this sheet.</t>
        </is>
      </c>
      <c r="D14" s="109" t="n"/>
      <c r="E14" s="109" t="n"/>
      <c r="F14" s="109" t="n"/>
      <c r="G14" s="109" t="n"/>
      <c r="H14" s="110" t="n"/>
    </row>
    <row r="15">
      <c r="B15" s="100" t="inlineStr">
        <is>
          <t>Sales tax</t>
        </is>
      </c>
      <c r="C15" s="101" t="inlineStr">
        <is>
          <t>Invoiced separately. Not extended on this sheet.</t>
        </is>
      </c>
      <c r="D15" s="109" t="n"/>
      <c r="E15" s="109" t="n"/>
      <c r="F15" s="109" t="n"/>
      <c r="G15" s="109" t="n"/>
      <c r="H15" s="110" t="n"/>
    </row>
    <row r="17" ht="20" customHeight="1">
      <c r="B17" s="103" t="inlineStr">
        <is>
          <t>Parking months and sprinkler-shutdown count to be confirmed. Permit fees and sales tax invoiced separately.</t>
        </is>
      </c>
    </row>
    <row r="18" ht="20" customHeight="1"/>
  </sheetData>
  <mergeCells count="6">
    <mergeCell ref="B1:H1"/>
    <mergeCell ref="C14:H14"/>
    <mergeCell ref="B2:H2"/>
    <mergeCell ref="B17:H18"/>
    <mergeCell ref="D4:H4"/>
    <mergeCell ref="C15:H15"/>
  </mergeCells>
  <printOptions horizontalCentered="1"/>
  <pageMargins left="0.5" right="0.5" top="0.7" bottom="0.6" header="0.3" footer="0.3"/>
  <pageSetup orientation="landscape" paperSize="1" fitToHeight="1" fitToWidth="1"/>
  <headerFooter>
    <oddHeader>&amp;LLUX Brand Company&amp;CRalph Lauren — Town Center at Boca Raton, Simon space 1062&amp;RCost-plus CM / GC  |  first-draft open-book exhibit</oddHeader>
    <oddFooter>&amp;LLUX Brand Company&amp;CNot a lump-sum bid  |  blank commercial inputs are OPEN&amp;RPage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B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42" customWidth="1" min="3" max="3"/>
    <col width="18" customWidth="1" min="4" max="4"/>
    <col width="48" customWidth="1" min="5" max="5"/>
  </cols>
  <sheetData>
    <row r="1" ht="24" customHeight="1">
      <c r="B1" s="74" t="inlineStr">
        <is>
          <t>Proposed roster — proposed, not awarded</t>
        </is>
      </c>
    </row>
    <row r="2" ht="32" customHeight="1">
      <c r="B2" s="37" t="inlineStr">
        <is>
          <t>LUX Brand Company  |  Ralph Lauren  |  Town Center at Boca Raton, Simon space 1062  |  Names below are proposed only. Trade-package dollars are entered after bids are received.</t>
        </is>
      </c>
    </row>
    <row r="4">
      <c r="B4" s="64" t="inlineStr">
        <is>
          <t>Scope</t>
        </is>
      </c>
      <c r="C4" s="64" t="inlineStr">
        <is>
          <t>Proposed firm</t>
        </is>
      </c>
      <c r="D4" s="64" t="inlineStr">
        <is>
          <t>Status</t>
        </is>
      </c>
      <c r="E4" s="64" t="inlineStr">
        <is>
          <t>Notes</t>
        </is>
      </c>
    </row>
    <row r="5" ht="22" customHeight="1">
      <c r="B5" s="104" t="inlineStr">
        <is>
          <t>Superintendent</t>
        </is>
      </c>
      <c r="C5" s="101" t="inlineStr">
        <is>
          <t>Robert Colvin</t>
        </is>
      </c>
      <c r="D5" s="53" t="inlineStr">
        <is>
          <t>Proposed</t>
        </is>
      </c>
      <c r="E5" s="105" t="inlineStr">
        <is>
          <t>Proposed, not awarded.</t>
        </is>
      </c>
    </row>
    <row r="6" ht="22" customHeight="1">
      <c r="B6" s="106" t="inlineStr">
        <is>
          <t>Demo</t>
        </is>
      </c>
      <c r="C6" s="107" t="inlineStr">
        <is>
          <t>MSA Painting</t>
        </is>
      </c>
      <c r="D6" s="96" t="inlineStr">
        <is>
          <t>Proposed</t>
        </is>
      </c>
      <c r="E6" s="108" t="inlineStr">
        <is>
          <t>Not awarded.</t>
        </is>
      </c>
    </row>
    <row r="7" ht="22" customHeight="1">
      <c r="B7" s="104" t="inlineStr">
        <is>
          <t>Scan / cut</t>
        </is>
      </c>
      <c r="C7" s="101" t="inlineStr">
        <is>
          <t>Big T</t>
        </is>
      </c>
      <c r="D7" s="53" t="inlineStr">
        <is>
          <t>Proposed</t>
        </is>
      </c>
      <c r="E7" s="105" t="inlineStr">
        <is>
          <t>Not awarded.</t>
        </is>
      </c>
    </row>
    <row r="8" ht="22" customHeight="1">
      <c r="B8" s="106" t="inlineStr">
        <is>
          <t>Framing / drywall</t>
        </is>
      </c>
      <c r="C8" s="107" t="inlineStr">
        <is>
          <t>Hunt Interiors</t>
        </is>
      </c>
      <c r="D8" s="96" t="inlineStr">
        <is>
          <t>Proposed</t>
        </is>
      </c>
      <c r="E8" s="108" t="inlineStr">
        <is>
          <t>Not awarded.</t>
        </is>
      </c>
    </row>
    <row r="9" ht="22" customHeight="1">
      <c r="B9" s="104" t="inlineStr">
        <is>
          <t>Electrical</t>
        </is>
      </c>
      <c r="C9" s="101" t="inlineStr">
        <is>
          <t>TBD — Alcor or South Palm</t>
        </is>
      </c>
      <c r="D9" s="53" t="inlineStr">
        <is>
          <t>Proposed / TBD</t>
        </is>
      </c>
      <c r="E9" s="105" t="inlineStr">
        <is>
          <t>Not awarded. Firm not selected.</t>
        </is>
      </c>
    </row>
    <row r="10" ht="22" customHeight="1">
      <c r="B10" s="106" t="inlineStr">
        <is>
          <t>Low voltage</t>
        </is>
      </c>
      <c r="C10" s="107" t="inlineStr">
        <is>
          <t>TBD — Alcor or South Palm</t>
        </is>
      </c>
      <c r="D10" s="96" t="inlineStr">
        <is>
          <t>Proposed / TBD</t>
        </is>
      </c>
      <c r="E10" s="108" t="inlineStr">
        <is>
          <t>Same shortlist as electrical. Not awarded.</t>
        </is>
      </c>
    </row>
    <row r="11" ht="22" customHeight="1">
      <c r="B11" s="104" t="inlineStr">
        <is>
          <t>Plumbing</t>
        </is>
      </c>
      <c r="C11" s="101" t="inlineStr">
        <is>
          <t>Langes</t>
        </is>
      </c>
      <c r="D11" s="53" t="inlineStr">
        <is>
          <t>Proposed</t>
        </is>
      </c>
      <c r="E11" s="105" t="inlineStr">
        <is>
          <t>Not awarded.</t>
        </is>
      </c>
    </row>
    <row r="12" ht="22" customHeight="1">
      <c r="B12" s="106" t="inlineStr">
        <is>
          <t>HVAC</t>
        </is>
      </c>
      <c r="C12" s="107" t="inlineStr">
        <is>
          <t>Air South</t>
        </is>
      </c>
      <c r="D12" s="96" t="inlineStr">
        <is>
          <t>Proposed</t>
        </is>
      </c>
      <c r="E12" s="108" t="inlineStr">
        <is>
          <t>Not awarded.</t>
        </is>
      </c>
    </row>
    <row r="13" ht="22" customHeight="1">
      <c r="B13" s="104" t="inlineStr">
        <is>
          <t>Storefront</t>
        </is>
      </c>
      <c r="C13" s="101" t="inlineStr">
        <is>
          <t>TBD — RSG or Abbott</t>
        </is>
      </c>
      <c r="D13" s="53" t="inlineStr">
        <is>
          <t>Proposed / TBD</t>
        </is>
      </c>
      <c r="E13" s="105" t="inlineStr">
        <is>
          <t>Not awarded. Firm not selected.</t>
        </is>
      </c>
    </row>
    <row r="14" ht="22" customHeight="1">
      <c r="B14" s="106" t="inlineStr">
        <is>
          <t>Flooring</t>
        </is>
      </c>
      <c r="C14" s="107" t="inlineStr">
        <is>
          <t>Twins</t>
        </is>
      </c>
      <c r="D14" s="96" t="inlineStr">
        <is>
          <t>Proposed</t>
        </is>
      </c>
      <c r="E14" s="108" t="inlineStr">
        <is>
          <t>Not awarded.</t>
        </is>
      </c>
    </row>
    <row r="15" ht="22" customHeight="1">
      <c r="B15" s="104" t="inlineStr">
        <is>
          <t>Paint</t>
        </is>
      </c>
      <c r="C15" s="101" t="inlineStr">
        <is>
          <t>National Retail Painting</t>
        </is>
      </c>
      <c r="D15" s="53" t="inlineStr">
        <is>
          <t>Proposed</t>
        </is>
      </c>
      <c r="E15" s="105" t="inlineStr">
        <is>
          <t>Not awarded.</t>
        </is>
      </c>
    </row>
    <row r="16" ht="22" customHeight="1">
      <c r="B16" s="106" t="inlineStr">
        <is>
          <t>Sprinklers</t>
        </is>
      </c>
      <c r="C16" s="107" t="inlineStr">
        <is>
          <t>Polaris</t>
        </is>
      </c>
      <c r="D16" s="96" t="inlineStr">
        <is>
          <t>Proposed (mall)</t>
        </is>
      </c>
      <c r="E16" s="108" t="inlineStr">
        <is>
          <t>Mall-required. Not awarded.</t>
        </is>
      </c>
    </row>
    <row r="17" ht="22" customHeight="1">
      <c r="B17" s="104" t="inlineStr">
        <is>
          <t>Fire alarm</t>
        </is>
      </c>
      <c r="C17" s="101" t="inlineStr">
        <is>
          <t>JCI</t>
        </is>
      </c>
      <c r="D17" s="53" t="inlineStr">
        <is>
          <t>Proposed (mall)</t>
        </is>
      </c>
      <c r="E17" s="105" t="inlineStr">
        <is>
          <t>Mall-required. Not awarded.</t>
        </is>
      </c>
    </row>
    <row r="18" ht="22" customHeight="1">
      <c r="B18" s="106" t="inlineStr">
        <is>
          <t>FA rough-in</t>
        </is>
      </c>
      <c r="C18" s="107" t="inlineStr">
        <is>
          <t>South Palm</t>
        </is>
      </c>
      <c r="D18" s="96" t="inlineStr">
        <is>
          <t>Proposed (mall)</t>
        </is>
      </c>
      <c r="E18" s="108" t="inlineStr">
        <is>
          <t>Mall-required. Not awarded.</t>
        </is>
      </c>
    </row>
    <row r="19" ht="22" customHeight="1">
      <c r="B19" s="104" t="inlineStr">
        <is>
          <t>Roof</t>
        </is>
      </c>
      <c r="C19" s="101" t="inlineStr">
        <is>
          <t>RSS if needed</t>
        </is>
      </c>
      <c r="D19" s="53" t="inlineStr">
        <is>
          <t>Proposed (mall)</t>
        </is>
      </c>
      <c r="E19" s="105" t="inlineStr">
        <is>
          <t>Mall. Only if needed. Not awarded.</t>
        </is>
      </c>
    </row>
    <row r="20" ht="22" customHeight="1">
      <c r="B20" s="106" t="inlineStr">
        <is>
          <t>Doors</t>
        </is>
      </c>
      <c r="C20" s="107" t="inlineStr">
        <is>
          <t>TBD</t>
        </is>
      </c>
      <c r="D20" s="96" t="inlineStr">
        <is>
          <t>Proposed / TBD</t>
        </is>
      </c>
      <c r="E20" s="108" t="inlineStr">
        <is>
          <t>Firm not listed. Not awarded.</t>
        </is>
      </c>
    </row>
    <row r="21" ht="22" customHeight="1">
      <c r="B21" s="104" t="inlineStr">
        <is>
          <t>BOH millwork</t>
        </is>
      </c>
      <c r="C21" s="101" t="inlineStr">
        <is>
          <t>Woodchuck</t>
        </is>
      </c>
      <c r="D21" s="53" t="inlineStr">
        <is>
          <t>Proposed</t>
        </is>
      </c>
      <c r="E21" s="105" t="inlineStr">
        <is>
          <t>Not awarded.</t>
        </is>
      </c>
    </row>
    <row r="22" ht="22" customHeight="1">
      <c r="B22" s="106" t="inlineStr">
        <is>
          <t>Carpentry</t>
        </is>
      </c>
      <c r="C22" s="107" t="inlineStr">
        <is>
          <t>LBC</t>
        </is>
      </c>
      <c r="D22" s="96" t="inlineStr">
        <is>
          <t>Proposed</t>
        </is>
      </c>
      <c r="E22" s="108" t="inlineStr">
        <is>
          <t>LUX Brand Company carpentry. Not awarded as a trade package.</t>
        </is>
      </c>
    </row>
    <row r="23" ht="22" customHeight="1">
      <c r="B23" s="104" t="inlineStr">
        <is>
          <t>Final clean</t>
        </is>
      </c>
      <c r="C23" s="101" t="inlineStr">
        <is>
          <t>Filthy Clean</t>
        </is>
      </c>
      <c r="D23" s="53" t="inlineStr">
        <is>
          <t>Proposed</t>
        </is>
      </c>
      <c r="E23" s="105" t="inlineStr">
        <is>
          <t>Not awarded.</t>
        </is>
      </c>
    </row>
    <row r="24" ht="22" customHeight="1">
      <c r="B24" s="106" t="inlineStr">
        <is>
          <t>Dumpsters</t>
        </is>
      </c>
      <c r="C24" s="107" t="inlineStr">
        <is>
          <t>Coastal Waste</t>
        </is>
      </c>
      <c r="D24" s="96" t="inlineStr">
        <is>
          <t>Proposed (mall)</t>
        </is>
      </c>
      <c r="E24" s="108" t="inlineStr">
        <is>
          <t>Mall. Not awarded.</t>
        </is>
      </c>
    </row>
    <row r="26" ht="28" customHeight="1">
      <c r="B26" s="30" t="inlineStr">
        <is>
          <t>Proposed, not awarded. Trade-package amounts are entered after bids are received.</t>
        </is>
      </c>
    </row>
  </sheetData>
  <autoFilter ref="B4:E24"/>
  <mergeCells count="3">
    <mergeCell ref="B26:E26"/>
    <mergeCell ref="B1:E1"/>
    <mergeCell ref="B2:E2"/>
  </mergeCells>
  <printOptions horizontalCentered="1"/>
  <pageMargins left="0.5" right="0.5" top="0.7" bottom="0.6" header="0.3" footer="0.3"/>
  <pageSetup orientation="landscape" paperSize="1" fitToHeight="1" fitToWidth="1"/>
  <headerFooter>
    <oddHeader>&amp;LLUX Brand Company&amp;CRalph Lauren — Town Center at Boca Raton, Simon space 1062&amp;RCost-plus CM / GC  |  first-draft open-book exhibit</oddHeader>
    <oddFooter>&amp;LLUX Brand Company&amp;CNot a lump-sum bid  |  blank commercial inputs are OPEN&amp;RPage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LUX Brand Company</dc:creator>
  <dc:title>Ralph Lauren Boca Raton — Cost-Plus CM Exhibit</dc:title>
  <dc:subject>First-draft open-book exhibit, not a lump-sum bid</dc:subject>
  <dc:language>en-US</dc:language>
  <dcterms:created xsi:type="dcterms:W3CDTF">2026-04-27T20:13:40Z</dcterms:created>
  <dcterms:modified xsi:type="dcterms:W3CDTF">2026-09-03T22:07:01Z</dcterms:modified>
  <cp:lastModifiedBy>Shawn Rasmusen</cp:lastModifiedBy>
  <cp:revision>0</cp:revision>
</cp:coreProperties>
</file>