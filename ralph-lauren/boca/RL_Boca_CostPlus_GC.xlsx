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4560" windowWidth="29040" windowHeight="15720" tabRatio="500" firstSheet="0" activeTab="0" autoFilterDateGrouping="1"/>
  </bookViews>
  <sheets>
    <sheet name="COVER" sheetId="1" state="visible" r:id="rId1"/>
    <sheet name="GC BID FORM" sheetId="2" state="visible" r:id="rId2"/>
    <sheet name="LANDIS FORM" sheetId="3" state="visible" r:id="rId3"/>
    <sheet name="OPEN ITEMS" sheetId="4" state="visible" r:id="rId4"/>
    <sheet name="MALL FEES" sheetId="5" state="visible" r:id="rId5"/>
    <sheet name="PROPOSED ROSTER" sheetId="6" state="visible" r:id="rId6"/>
  </sheets>
  <definedNames>
    <definedName name="Weeks">'LANDIS FORM'!$B$5</definedName>
    <definedName name="_xlnm.Print_Area" localSheetId="5">'PROPOSED ROSTER'!$A$1:$E$26</definedName>
    <definedName name="_xlnm.Print_Area" localSheetId="0">'COVER'!$A$1:$E$28</definedName>
    <definedName name="_xlnm.Print_Area" localSheetId="1">'GC BID FORM'!$A$9:$K$80</definedName>
    <definedName name="_xlnm._FilterDatabase" localSheetId="2" hidden="1">'LANDIS FORM'!$B$19:$D$39</definedName>
    <definedName name="_xlnm.Print_Area" localSheetId="2">'LANDIS FORM'!$A$1:$G$48</definedName>
    <definedName name="_xlnm.Print_Area" localSheetId="3">'OPEN ITEMS'!$A$1:$E$11</definedName>
    <definedName name="_xlnm.Print_Area" localSheetId="4">'MALL FEES'!$A$1:$H$18</definedName>
    <definedName name="_xlnm._FilterDatabase" localSheetId="5" hidden="1">'PROPOSED ROSTER'!$B$4:$E$24</definedName>
    <definedName name="_xlnm.Print_Area" localSheetId="5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\$#,##0;&quot;(&quot;$&quot;#,##0);\-"/>
    <numFmt numFmtId="167" formatCode="0.0"/>
    <numFmt numFmtId="168" formatCode="\$#,##0.00;&quot;(&quot;$&quot;#,##0.00);\-"/>
  </numFmts>
  <fonts count="21">
    <font>
      <name val="Calibri"/>
      <charset val="1"/>
      <family val="2"/>
      <color theme="1"/>
      <sz val="11"/>
    </font>
    <font>
      <name val="Calibri"/>
      <charset val="1"/>
      <b val="1"/>
      <color rgb="FF1F4E78"/>
      <sz val="14"/>
    </font>
    <font>
      <name val="Calibri"/>
      <charset val="1"/>
      <i val="1"/>
      <color rgb="FF595959"/>
      <sz val="9"/>
    </font>
    <font>
      <name val="Calibri"/>
      <charset val="1"/>
      <b val="1"/>
      <color rgb="FFFFFFFF"/>
      <sz val="12"/>
    </font>
    <font>
      <name val="Calibri"/>
      <charset val="1"/>
      <b val="1"/>
      <color rgb="FF1F4E78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  <font>
      <name val="Calibri"/>
      <i val="1"/>
      <color rgb="00595959"/>
      <sz val="10"/>
    </font>
    <font>
      <name val="Calibri"/>
      <b val="1"/>
      <color rgb="001F4E78"/>
      <sz val="16"/>
    </font>
    <font>
      <name val="Calibri"/>
      <b val="1"/>
      <color rgb="001F4E78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1F4E78"/>
      <sz val="10"/>
    </font>
    <font>
      <name val="Calibri"/>
      <b val="1"/>
      <color rgb="00FFFFFF"/>
      <sz val="14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9C5700"/>
      <sz val="10"/>
    </font>
    <font>
      <name val="Calibri"/>
      <b val="1"/>
      <color rgb="001F4E78"/>
      <sz val="18"/>
    </font>
    <font>
      <name val="Calibri"/>
      <i val="1"/>
      <color rgb="001F4E78"/>
      <sz val="12"/>
    </font>
  </fonts>
  <fills count="1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1F4E78"/>
      </patternFill>
    </fill>
    <fill>
      <patternFill patternType="solid">
        <fgColor rgb="00D6E3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3F0"/>
        <bgColor rgb="00D6E3F0"/>
      </patternFill>
    </fill>
    <fill>
      <patternFill patternType="solid">
        <fgColor rgb="00FFE599"/>
        <bgColor rgb="00FFE599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4" fontId="3" fillId="2" borderId="1" pivotButton="0" quotePrefix="0" xfId="0"/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166" fontId="6" fillId="5" borderId="1" pivotButton="0" quotePrefix="0" xfId="0"/>
    <xf numFmtId="164" fontId="6" fillId="5" borderId="1" pivotButton="0" quotePrefix="0" xfId="0"/>
    <xf numFmtId="165" fontId="6" fillId="7" borderId="1" pivotButton="0" quotePrefix="0" xfId="0"/>
    <xf numFmtId="0" fontId="9" fillId="0" borderId="0" applyAlignment="1" pivotButton="0" quotePrefix="0" xfId="0">
      <alignment vertical="center" wrapText="1"/>
    </xf>
    <xf numFmtId="0" fontId="6" fillId="7" borderId="1" applyAlignment="1" pivotButton="0" quotePrefix="0" xfId="0">
      <alignment horizontal="center"/>
    </xf>
    <xf numFmtId="0" fontId="6" fillId="6" borderId="0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9" fillId="6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7" fontId="12" fillId="7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8" borderId="0" applyAlignment="1" pivotButton="0" quotePrefix="0" xfId="0">
      <alignment horizontal="left" vertical="center" wrapText="1"/>
    </xf>
    <xf numFmtId="0" fontId="13" fillId="8" borderId="0" pivotButton="0" quotePrefix="0" xfId="0"/>
    <xf numFmtId="0" fontId="14" fillId="9" borderId="0" pivotButton="0" quotePrefix="0" xfId="0"/>
    <xf numFmtId="166" fontId="12" fillId="7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7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166" fontId="0" fillId="0" borderId="2" applyAlignment="1" pivotButton="0" quotePrefix="0" xfId="0">
      <alignment horizontal="right" vertical="center"/>
    </xf>
    <xf numFmtId="0" fontId="12" fillId="10" borderId="2" applyAlignment="1" pivotButton="0" quotePrefix="0" xfId="0">
      <alignment horizontal="center" vertical="center" wrapText="1"/>
    </xf>
    <xf numFmtId="0" fontId="12" fillId="10" borderId="2" pivotButton="0" quotePrefix="0" xfId="0"/>
    <xf numFmtId="166" fontId="0" fillId="10" borderId="2" applyAlignment="1" pivotButton="0" quotePrefix="0" xfId="0">
      <alignment horizontal="right" vertical="center"/>
    </xf>
    <xf numFmtId="0" fontId="11" fillId="0" borderId="0" pivotButton="0" quotePrefix="0" xfId="0"/>
    <xf numFmtId="166" fontId="12" fillId="5" borderId="2" applyAlignment="1" pivotButton="0" quotePrefix="0" xfId="0">
      <alignment horizontal="right" vertical="center"/>
    </xf>
    <xf numFmtId="0" fontId="13" fillId="8" borderId="0" applyAlignment="1" pivotButton="0" quotePrefix="0" xfId="0">
      <alignment horizontal="right" vertical="center"/>
    </xf>
    <xf numFmtId="166" fontId="13" fillId="8" borderId="2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5" fillId="8" borderId="0" applyAlignment="1" pivotButton="0" quotePrefix="0" xfId="0">
      <alignment horizontal="left" vertical="center" wrapText="1"/>
    </xf>
    <xf numFmtId="0" fontId="15" fillId="8" borderId="0" pivotButton="0" quotePrefix="0" xfId="0"/>
    <xf numFmtId="0" fontId="16" fillId="0" borderId="0" applyAlignment="1" pivotButton="0" quotePrefix="0" xfId="0">
      <alignment vertical="center" wrapText="1"/>
    </xf>
    <xf numFmtId="0" fontId="13" fillId="8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vertical="center" wrapText="1"/>
    </xf>
    <xf numFmtId="0" fontId="12" fillId="0" borderId="2" applyAlignment="1" pivotButton="0" quotePrefix="0" xfId="0">
      <alignment vertical="center" wrapText="1"/>
    </xf>
    <xf numFmtId="0" fontId="11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9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9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11" fillId="9" borderId="2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165" fontId="12" fillId="7" borderId="2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center" vertical="center" wrapText="1"/>
    </xf>
    <xf numFmtId="167" fontId="6" fillId="11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14" fillId="9" borderId="2" pivotButton="0" quotePrefix="0" xfId="0"/>
    <xf numFmtId="0" fontId="12" fillId="7" borderId="2" applyAlignment="1" pivotButton="0" quotePrefix="0" xfId="0">
      <alignment vertical="center" wrapText="1"/>
    </xf>
    <xf numFmtId="0" fontId="18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3" fontId="12" fillId="9" borderId="2" applyAlignment="1" pivotButton="0" quotePrefix="0" xfId="0">
      <alignment horizontal="center" vertical="center" wrapText="1"/>
    </xf>
    <xf numFmtId="168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168" fontId="12" fillId="5" borderId="2" applyAlignment="1" pivotButton="0" quotePrefix="0" xfId="0">
      <alignment horizontal="right" vertical="center"/>
    </xf>
    <xf numFmtId="0" fontId="12" fillId="11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7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10" borderId="2" applyAlignment="1" pivotButton="0" quotePrefix="0" xfId="0">
      <alignment horizontal="left" vertical="center" wrapText="1"/>
    </xf>
    <xf numFmtId="0" fontId="0" fillId="10" borderId="2" pivotButton="0" quotePrefix="0" xfId="0"/>
    <xf numFmtId="0" fontId="9" fillId="0" borderId="0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1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165" fontId="12" fillId="12" borderId="2" applyAlignment="1" pivotButton="0" quotePrefix="0" xfId="0">
      <alignment horizontal="center" vertical="center" wrapText="1"/>
    </xf>
    <xf numFmtId="166" fontId="12" fillId="12" borderId="2" applyAlignment="1" pivotButton="0" quotePrefix="0" xfId="0">
      <alignment horizontal="center" vertical="center" wrapText="1"/>
    </xf>
    <xf numFmtId="167" fontId="12" fillId="12" borderId="2" applyAlignment="1" pivotButton="0" quotePrefix="0" xfId="0">
      <alignment horizontal="center" vertical="center" wrapText="1"/>
    </xf>
    <xf numFmtId="10" fontId="12" fillId="12" borderId="2" applyAlignment="1" pivotButton="0" quotePrefix="0" xfId="0">
      <alignment horizontal="center" vertical="center" wrapText="1"/>
    </xf>
    <xf numFmtId="10" fontId="0" fillId="13" borderId="2" pivotButton="0" quotePrefix="0" xfId="0"/>
    <xf numFmtId="0" fontId="11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vertical="center" wrapText="1"/>
    </xf>
    <xf numFmtId="0" fontId="12" fillId="12" borderId="2" applyAlignment="1" pivotButton="0" quotePrefix="0" xfId="0">
      <alignment vertical="center" wrapText="1"/>
    </xf>
    <xf numFmtId="0" fontId="18" fillId="1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0" fillId="12" borderId="0" pivotButton="0" quotePrefix="0" xfId="0"/>
    <xf numFmtId="0" fontId="0" fillId="1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E28"/>
  <sheetViews>
    <sheetView showGridLines="0" zoomScale="12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8" customWidth="1" min="3" max="3"/>
    <col width="22" customWidth="1" min="4" max="4"/>
    <col width="18" customWidth="1" min="5" max="5"/>
  </cols>
  <sheetData>
    <row r="2" ht="26" customHeight="1">
      <c r="B2" s="74" t="inlineStr">
        <is>
          <t>LUX Brand Company</t>
        </is>
      </c>
    </row>
    <row r="3" ht="22" customHeight="1">
      <c r="B3" s="75" t="inlineStr">
        <is>
          <t>Ralph Lauren  —  Town Center at Boca Raton</t>
        </is>
      </c>
    </row>
    <row r="4" ht="20" customHeight="1">
      <c r="B4" s="76" t="inlineStr">
        <is>
          <t>This is an open-book exhibit after Luke’s 3 Sep 2026 lock, not a lump-sum bid.</t>
        </is>
      </c>
    </row>
    <row r="5" ht="36" customHeight="1">
      <c r="B5" s="30" t="inlineStr">
        <is>
          <t>Cost-plus CM + GC. SET: 21 weeks, 10% CM fee, 1.5% insurance, $4,400/wk superintendent, 1% pre-construction (first pay app / NTP). Still OPEN: trade dollars, weekly GC lump, CO markup %, parking months, sprinkler-shutdown count, pre-con dollars, grand total. Not a send to Charrette.</t>
        </is>
      </c>
    </row>
    <row r="7" ht="20" customHeight="1">
      <c r="B7" s="41" t="inlineStr">
        <is>
          <t>JOB IDENTITY</t>
        </is>
      </c>
    </row>
    <row r="8" ht="20" customHeight="1">
      <c r="B8" s="77" t="inlineStr">
        <is>
          <t>Client</t>
        </is>
      </c>
      <c r="C8" s="78" t="inlineStr">
        <is>
          <t>Ralph Lauren</t>
        </is>
      </c>
      <c r="D8" s="109" t="n"/>
      <c r="E8" s="110" t="n"/>
    </row>
    <row r="9" ht="20" customHeight="1">
      <c r="B9" s="77" t="inlineStr">
        <is>
          <t>Location</t>
        </is>
      </c>
      <c r="C9" s="78" t="inlineStr">
        <is>
          <t>Town Center at Boca Raton, Simon space 1062, 600 Glades Road</t>
        </is>
      </c>
      <c r="D9" s="109" t="n"/>
      <c r="E9" s="110" t="n"/>
    </row>
    <row r="10" ht="20" customHeight="1">
      <c r="B10" s="77" t="inlineStr">
        <is>
          <t>Area</t>
        </is>
      </c>
      <c r="C10" s="78" t="inlineStr">
        <is>
          <t>3,384 sf</t>
        </is>
      </c>
      <c r="D10" s="109" t="n"/>
      <c r="E10" s="110" t="n"/>
    </row>
    <row r="11" ht="20" customHeight="1">
      <c r="B11" s="77" t="inlineStr">
        <is>
          <t>Owner's representative</t>
        </is>
      </c>
      <c r="C11" s="78" t="inlineStr">
        <is>
          <t>Charrette MG — Landis Kauffman, Claudia Mardones</t>
        </is>
      </c>
      <c r="D11" s="109" t="n"/>
      <c r="E11" s="110" t="n"/>
    </row>
    <row r="12" ht="20" customHeight="1">
      <c r="B12" s="77" t="inlineStr">
        <is>
          <t>Contract</t>
        </is>
      </c>
      <c r="C12" s="78" t="inlineStr">
        <is>
          <t>Cost-plus / CM + GC  (not lump sum)</t>
        </is>
      </c>
      <c r="D12" s="109" t="n"/>
      <c r="E12" s="110" t="n"/>
    </row>
    <row r="13" ht="20" customHeight="1">
      <c r="B13" s="77" t="inlineStr">
        <is>
          <t>Payment</t>
        </is>
      </c>
      <c r="C13" s="78" t="inlineStr">
        <is>
          <t>Ralph Lauren policy: net 90</t>
        </is>
      </c>
      <c r="D13" s="109" t="n"/>
      <c r="E13" s="110" t="n"/>
    </row>
    <row r="14" ht="20" customHeight="1">
      <c r="B14" s="77" t="inlineStr">
        <is>
          <t>Calendar (intake)</t>
        </is>
      </c>
      <c r="C14" s="78" t="inlineStr">
        <is>
          <t>Commence 2027-04-02  |  Substantial 2027-08-18 (~19.5 weeks)  |  Final 2027-08-25</t>
        </is>
      </c>
      <c r="D14" s="109" t="n"/>
      <c r="E14" s="110" t="n"/>
    </row>
    <row r="15" ht="20" customHeight="1">
      <c r="B15" s="77" t="inlineStr">
        <is>
          <t>Architect</t>
        </is>
      </c>
      <c r="C15" s="78" t="inlineStr">
        <is>
          <t>TPG</t>
        </is>
      </c>
      <c r="D15" s="109" t="n"/>
      <c r="E15" s="110" t="n"/>
    </row>
    <row r="16" ht="20" customHeight="1">
      <c r="B16" s="77" t="inlineStr">
        <is>
          <t>RL NDA</t>
        </is>
      </c>
      <c r="C16" s="78" t="inlineStr">
        <is>
          <t>2026-07-14</t>
        </is>
      </c>
      <c r="D16" s="109" t="n"/>
      <c r="E16" s="110" t="n"/>
    </row>
    <row r="17" ht="20" customHeight="1">
      <c r="B17" s="77" t="inlineStr">
        <is>
          <t>RL contact on drawings</t>
        </is>
      </c>
      <c r="C17" s="78" t="inlineStr">
        <is>
          <t>dorit.alexander@ralphlauren.com</t>
        </is>
      </c>
      <c r="D17" s="109" t="n"/>
      <c r="E17" s="110" t="n"/>
    </row>
    <row r="18" ht="20" customHeight="1">
      <c r="B18" s="77" t="inlineStr">
        <is>
          <t>Permit fees</t>
        </is>
      </c>
      <c r="C18" s="78" t="inlineStr">
        <is>
          <t>Excluded / invoiced separately</t>
        </is>
      </c>
      <c r="D18" s="109" t="n"/>
      <c r="E18" s="110" t="n"/>
    </row>
    <row r="19" ht="20" customHeight="1">
      <c r="B19" s="77" t="inlineStr">
        <is>
          <t>Sales tax</t>
        </is>
      </c>
      <c r="C19" s="78" t="inlineStr">
        <is>
          <t>Invoiced separately</t>
        </is>
      </c>
      <c r="D19" s="109" t="n"/>
      <c r="E19" s="110" t="n"/>
    </row>
    <row r="20" ht="20" customHeight="1">
      <c r="B20" s="77" t="inlineStr">
        <is>
          <t>GC</t>
        </is>
      </c>
      <c r="C20" s="78" t="inlineStr">
        <is>
          <t>LUX Brand Company</t>
        </is>
      </c>
      <c r="D20" s="109" t="n"/>
      <c r="E20" s="110" t="n"/>
    </row>
    <row r="22">
      <c r="B22" s="42" t="inlineStr">
        <is>
          <t>NOTES</t>
        </is>
      </c>
    </row>
    <row r="23" ht="42" customHeight="1">
      <c r="B23" s="80" t="inlineStr">
        <is>
          <t>Open book</t>
        </is>
      </c>
      <c r="C23" s="81" t="inlineStr">
        <is>
          <t>This workbook is an open-book CM exhibit for internal review after Luke’s 3 Sep 2026 lock. It is not a lump-sum bid, not an awarded contract price, and not a send to Charrette.</t>
        </is>
      </c>
      <c r="D23" s="109" t="n"/>
      <c r="E23" s="110" t="n"/>
    </row>
    <row r="24" ht="42" customHeight="1">
      <c r="B24" s="80" t="inlineStr">
        <is>
          <t>Luke lock / remaining blanks</t>
        </is>
      </c>
      <c r="C24" s="81" t="inlineStr">
        <is>
          <t>Luke lock 3 Sep 2026 filled duration, CM fee %, insurance %, and weekly superintendent. Do not read $0 rollups on GC BID FORM or LANDIS FORM as a bid total — trades are unbid.</t>
        </is>
      </c>
      <c r="D24" s="109" t="n"/>
      <c r="E24" s="110" t="n"/>
    </row>
    <row r="25" ht="42" customHeight="1">
      <c r="B25" s="80" t="inlineStr">
        <is>
          <t>Calendar vs duration</t>
        </is>
      </c>
      <c r="C25" s="81" t="inlineStr">
        <is>
          <t>Intake calendar is commence 2027-04-02 through substantial 2027-08-18 (~19.5 weeks), final 2027-08-25. Luke locked 21 weeks for the fee form (reconciles 19.5 vs the 20–23 band). The leftover 13-week figure is not used.</t>
        </is>
      </c>
      <c r="D25" s="109" t="n"/>
      <c r="E25" s="110" t="n"/>
    </row>
    <row r="26" ht="42" customHeight="1">
      <c r="B26" s="80" t="inlineStr">
        <is>
          <t>Permits / tax</t>
        </is>
      </c>
      <c r="C26" s="81" t="inlineStr">
        <is>
          <t>Permit fees are excluded and invoiced separately. Sales tax is invoiced separately.</t>
        </is>
      </c>
      <c r="D26" s="109" t="n"/>
      <c r="E26" s="110" t="n"/>
    </row>
    <row r="27" ht="42" customHeight="1">
      <c r="B27" s="80" t="inlineStr">
        <is>
          <t>Trades</t>
        </is>
      </c>
      <c r="C27" s="81" t="inlineStr">
        <is>
          <t>No trade-package dollars are entered. PROPOSED ROSTER is proposed, not awarded (Robert Colvin proposed, not awarded). Mall unit rates are listed on MALL FEES; parking months and sprinkler-shutdown count stay OPEN.</t>
        </is>
      </c>
      <c r="D27" s="109" t="n"/>
      <c r="E27" s="110" t="n"/>
    </row>
    <row r="28" ht="42" customHeight="1">
      <c r="B28" s="80" t="inlineStr">
        <is>
          <t>Sheets</t>
        </is>
      </c>
      <c r="C28" s="81" t="inlineStr">
        <is>
          <t>COVER  |  GC BID FORM  |  LANDIS FORM  |  OPEN ITEMS  |  MALL FEES  |  PROPOSED ROSTER</t>
        </is>
      </c>
      <c r="D28" s="109" t="n"/>
      <c r="E28" s="110" t="n"/>
    </row>
  </sheetData>
  <mergeCells count="25">
    <mergeCell ref="C16:E16"/>
    <mergeCell ref="C9:E9"/>
    <mergeCell ref="B5:E5"/>
    <mergeCell ref="C12:E12"/>
    <mergeCell ref="C11:E11"/>
    <mergeCell ref="C27:E27"/>
    <mergeCell ref="B4:E4"/>
    <mergeCell ref="C23:E23"/>
    <mergeCell ref="C8:E8"/>
    <mergeCell ref="B7:E7"/>
    <mergeCell ref="C17:E17"/>
    <mergeCell ref="B3:E3"/>
    <mergeCell ref="B22:E22"/>
    <mergeCell ref="C28:E28"/>
    <mergeCell ref="C13:E13"/>
    <mergeCell ref="C19:E19"/>
    <mergeCell ref="C18:E18"/>
    <mergeCell ref="B2:E2"/>
    <mergeCell ref="C15:E15"/>
    <mergeCell ref="C24:E24"/>
    <mergeCell ref="C14:E14"/>
    <mergeCell ref="C26:E26"/>
    <mergeCell ref="C20:E20"/>
    <mergeCell ref="C25:E25"/>
    <mergeCell ref="C10:E10"/>
  </mergeCells>
  <printOptions horizontalCentered="1"/>
  <pageMargins left="0.5" right="0.5" top="0.7" bottom="0.6" header="0.3" footer="0.3"/>
  <pageSetup orientation="portrait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9:K80"/>
  <sheetViews>
    <sheetView showGridLines="0" tabSelected="1" topLeftCell="A9" zoomScale="100" zoomScaleNormal="100" workbookViewId="0">
      <pane ySplit="22" topLeftCell="A23" activePane="bottomLeft" state="frozen"/>
      <selection pane="bottomLeft" activeCell="A82" sqref="A82:XFD90"/>
    </sheetView>
  </sheetViews>
  <sheetFormatPr baseColWidth="8" defaultColWidth="8.6640625" defaultRowHeight="14.25"/>
  <cols>
    <col width="3" customWidth="1" min="1" max="1"/>
    <col width="11" customWidth="1" min="2" max="2"/>
    <col width="4" customWidth="1" min="3" max="3"/>
    <col width="42" customWidth="1" min="4" max="4"/>
    <col width="16" customWidth="1" min="5" max="5"/>
    <col width="10" customWidth="1" min="6" max="7"/>
    <col width="22" customWidth="1" min="8" max="8"/>
    <col width="14" customWidth="1" min="9" max="9"/>
    <col width="16" customWidth="1" min="10" max="10"/>
    <col width="72" customWidth="1" min="11" max="11"/>
  </cols>
  <sheetData>
    <row r="9" ht="18" customHeight="1">
      <c r="I9" s="5" t="inlineStr">
        <is>
          <t>BID SCHEDULE</t>
        </is>
      </c>
    </row>
    <row r="10">
      <c r="I10" s="82" t="inlineStr">
        <is>
          <t>Open-book exhibit after Luke lock 3 Sep 2026 — not a lump-sum bid. Not a send to Charrette.</t>
        </is>
      </c>
    </row>
    <row r="14" ht="15.75" customHeight="1">
      <c r="H14" s="7" t="inlineStr">
        <is>
          <t>Project Bid</t>
        </is>
      </c>
      <c r="I14" s="8" t="inlineStr">
        <is>
          <t>USD</t>
        </is>
      </c>
      <c r="J14" s="25">
        <f>J80</f>
        <v/>
      </c>
      <c r="K14" s="83" t="inlineStr">
        <is>
          <t>Not a lump-sum bid total. Trades unbid. Weekly GC lump still OPEN. Super $4,400 × 21 is on C-6 only.</t>
        </is>
      </c>
    </row>
    <row r="15">
      <c r="H15" s="10" t="inlineStr">
        <is>
          <t>Total with Escrows</t>
        </is>
      </c>
      <c r="I15" s="11" t="inlineStr">
        <is>
          <t>USD</t>
        </is>
      </c>
      <c r="J15" s="26">
        <f>J14+J23</f>
        <v/>
      </c>
    </row>
    <row r="16">
      <c r="D16" s="13" t="inlineStr">
        <is>
          <t>CONTRACT TYPE:</t>
        </is>
      </c>
      <c r="E16" s="14" t="inlineStr">
        <is>
          <t>Cost-Plus CM (open book)</t>
        </is>
      </c>
      <c r="H16" s="15" t="inlineStr">
        <is>
          <t>Add Alternates</t>
        </is>
      </c>
      <c r="I16" s="16" t="inlineStr">
        <is>
          <t>USD</t>
        </is>
      </c>
      <c r="J16" s="27" t="n">
        <v>0</v>
      </c>
    </row>
    <row r="17">
      <c r="D17" s="13" t="inlineStr">
        <is>
          <t>LABOR:</t>
        </is>
      </c>
      <c r="E17" s="14" t="inlineStr">
        <is>
          <t>Non-Union</t>
        </is>
      </c>
      <c r="H17" s="15" t="inlineStr">
        <is>
          <t>Deduct Alternates</t>
        </is>
      </c>
      <c r="I17" s="16" t="inlineStr">
        <is>
          <t>USD</t>
        </is>
      </c>
      <c r="J17" s="27" t="n">
        <v>0</v>
      </c>
    </row>
    <row r="18">
      <c r="D18" s="13" t="inlineStr">
        <is>
          <t>LOCATION:</t>
        </is>
      </c>
      <c r="E18" s="14" t="inlineStr">
        <is>
          <t>Ralph Lauren Boca Raton — Town Center space 1062</t>
        </is>
      </c>
    </row>
    <row r="19">
      <c r="D19" s="13" t="inlineStr">
        <is>
          <t>GC:</t>
        </is>
      </c>
      <c r="E19" s="14" t="inlineStr">
        <is>
          <t>LUX Brand Company</t>
        </is>
      </c>
    </row>
    <row r="22" ht="27.75" customHeight="1">
      <c r="A22" s="18" t="n"/>
      <c r="B22" s="18" t="inlineStr">
        <is>
          <t>CSI Code</t>
        </is>
      </c>
      <c r="C22" s="18" t="n"/>
      <c r="D22" s="18" t="inlineStr">
        <is>
          <t>Description</t>
        </is>
      </c>
      <c r="E22" s="18" t="inlineStr">
        <is>
          <t>Notes</t>
        </is>
      </c>
      <c r="F22" s="18" t="n"/>
      <c r="G22" s="18" t="n"/>
      <c r="H22" s="18" t="n"/>
      <c r="I22" s="18" t="inlineStr">
        <is>
          <t>Unit</t>
        </is>
      </c>
      <c r="J22" s="18" t="inlineStr">
        <is>
          <t>Costs &amp; Fees</t>
        </is>
      </c>
      <c r="K22" s="18" t="inlineStr">
        <is>
          <t>GC Notes</t>
        </is>
      </c>
    </row>
    <row r="23">
      <c r="D23" s="19" t="inlineStr">
        <is>
          <t>ESCROWS, ALLOWANCES &amp; REIMBURSABLES</t>
        </is>
      </c>
      <c r="I23" s="19" t="inlineStr">
        <is>
          <t>Sub Total</t>
        </is>
      </c>
      <c r="J23" s="12" t="n">
        <v>0</v>
      </c>
    </row>
    <row r="24">
      <c r="B24" s="14" t="inlineStr">
        <is>
          <t>E1.0</t>
        </is>
      </c>
      <c r="D24" s="14" t="inlineStr">
        <is>
          <t>Special Insurances Required by Ralph Lauren</t>
        </is>
      </c>
      <c r="H24" s="20" t="n"/>
      <c r="I24" s="14" t="inlineStr">
        <is>
          <t>ALLOW</t>
        </is>
      </c>
      <c r="J24" s="17" t="n">
        <v>0</v>
      </c>
      <c r="K24" s="20" t="inlineStr">
        <is>
          <t>Standard LBC certificates assumed adequate</t>
        </is>
      </c>
    </row>
    <row r="25">
      <c r="B25" s="14" t="inlineStr">
        <is>
          <t>E2.0</t>
        </is>
      </c>
      <c r="D25" s="14" t="inlineStr">
        <is>
          <t>Performance Bond and/or Sureties</t>
        </is>
      </c>
      <c r="H25" s="20" t="n"/>
      <c r="I25" s="14" t="inlineStr">
        <is>
          <t>ALLOW</t>
        </is>
      </c>
      <c r="J25" s="17" t="n">
        <v>0</v>
      </c>
      <c r="K25" s="20" t="inlineStr">
        <is>
          <t>None required</t>
        </is>
      </c>
    </row>
    <row r="26">
      <c r="B26" s="14" t="inlineStr">
        <is>
          <t>E3.0</t>
        </is>
      </c>
      <c r="D26" s="14" t="inlineStr">
        <is>
          <t>Permits, Fees, Connection Costs, Access Fees, Landlord Fees</t>
        </is>
      </c>
      <c r="H26" s="20" t="n"/>
      <c r="I26" s="14" t="inlineStr">
        <is>
          <t>ALLOW</t>
        </is>
      </c>
      <c r="J26" s="17" t="n">
        <v>0</v>
      </c>
      <c r="K26" s="20" t="inlineStr">
        <is>
          <t>Permit fees excluded — to be invoiced separately</t>
        </is>
      </c>
    </row>
    <row r="27">
      <c r="B27" s="14" t="inlineStr">
        <is>
          <t>E4.0</t>
        </is>
      </c>
      <c r="D27" s="14" t="inlineStr">
        <is>
          <t>Contingency Account or At-Risk Account/Fee</t>
        </is>
      </c>
      <c r="H27" s="20" t="n"/>
      <c r="I27" s="14" t="inlineStr">
        <is>
          <t>ALLOW</t>
        </is>
      </c>
      <c r="J27" s="17" t="n">
        <v>0</v>
      </c>
      <c r="K27" s="20" t="inlineStr">
        <is>
          <t>None</t>
        </is>
      </c>
    </row>
    <row r="28">
      <c r="B28" s="14" t="inlineStr">
        <is>
          <t>E5.0</t>
        </is>
      </c>
      <c r="D28" s="14" t="inlineStr">
        <is>
          <t>Sales Tax (district, local, state)</t>
        </is>
      </c>
      <c r="H28" s="20" t="inlineStr">
        <is>
          <t>Specify if included in subs</t>
        </is>
      </c>
      <c r="I28" s="14" t="inlineStr">
        <is>
          <t>ALLOW</t>
        </is>
      </c>
      <c r="J28" s="17" t="n">
        <v>0</v>
      </c>
      <c r="K28" s="20" t="inlineStr">
        <is>
          <t>Sales tax invoiced separately per contract — not included</t>
        </is>
      </c>
    </row>
    <row r="30">
      <c r="B30" s="21" t="inlineStr">
        <is>
          <t>00 / 01</t>
        </is>
      </c>
      <c r="D30" s="21" t="inlineStr">
        <is>
          <t>PROCUREMENT &amp; GENERAL REQUIREMENTS</t>
        </is>
      </c>
      <c r="J30" s="22">
        <f>J32+J35+J40+J52</f>
        <v/>
      </c>
    </row>
    <row r="32">
      <c r="B32" s="19" t="inlineStr">
        <is>
          <t>A</t>
        </is>
      </c>
      <c r="D32" s="19" t="inlineStr">
        <is>
          <t>OVERHEAD &amp; PROFIT (OH&amp;P)</t>
        </is>
      </c>
      <c r="I32" s="19" t="inlineStr">
        <is>
          <t>Sub Total</t>
        </is>
      </c>
      <c r="J32" s="26">
        <f>J33</f>
        <v/>
      </c>
    </row>
    <row r="33" ht="28" customHeight="1">
      <c r="B33" s="14" t="inlineStr">
        <is>
          <t>A-1</t>
        </is>
      </c>
      <c r="D33" s="14" t="inlineStr">
        <is>
          <t>Overhead &amp; Profit</t>
        </is>
      </c>
      <c r="H33" s="28">
        <f>J35+J40+J52</f>
        <v/>
      </c>
      <c r="I33" s="111" t="n">
        <v>0.1</v>
      </c>
      <c r="J33" s="28">
        <f>H33*I33</f>
        <v/>
      </c>
      <c r="K33" s="83" t="inlineStr">
        <is>
          <t>SET — Luke locked 10% CM / OH&amp;P on 3 Sep 2026.</t>
        </is>
      </c>
    </row>
    <row r="35">
      <c r="B35" s="19" t="inlineStr">
        <is>
          <t>B</t>
        </is>
      </c>
      <c r="D35" s="19" t="inlineStr">
        <is>
          <t>GENERAL CONTRACTOR OVERHEAD</t>
        </is>
      </c>
      <c r="I35" s="19" t="inlineStr">
        <is>
          <t>Sub Total</t>
        </is>
      </c>
      <c r="J35" s="12">
        <f>J36+J37+J38</f>
        <v/>
      </c>
    </row>
    <row r="36" ht="28" customHeight="1">
      <c r="B36" s="14" t="inlineStr">
        <is>
          <t>B-2</t>
        </is>
      </c>
      <c r="D36" s="14" t="inlineStr">
        <is>
          <t>Main Office Overhead Rate (excl. project payroll)</t>
        </is>
      </c>
      <c r="H36" s="28">
        <f>J40+J52</f>
        <v/>
      </c>
      <c r="I36" s="84" t="n"/>
      <c r="J36" s="28">
        <f>H36*I36</f>
        <v/>
      </c>
      <c r="K36" s="83" t="inlineStr">
        <is>
          <t>OPEN — main-office OH % not set (template leftover was 1%).</t>
        </is>
      </c>
    </row>
    <row r="37" ht="28" customHeight="1">
      <c r="B37" s="14" t="inlineStr">
        <is>
          <t>B-3</t>
        </is>
      </c>
      <c r="D37" s="14" t="inlineStr">
        <is>
          <t>Liability Insurance</t>
        </is>
      </c>
      <c r="H37" s="28">
        <f>J40+J52+J36</f>
        <v/>
      </c>
      <c r="I37" s="111" t="n">
        <v>0.015</v>
      </c>
      <c r="J37" s="28">
        <f>H37*I37</f>
        <v/>
      </c>
      <c r="K37" s="83" t="inlineStr">
        <is>
          <t>SET — 1.5% liability insurance confirmed (limits confirmed). Workers’ compensation 1.2% is C-7 only; do not double-count into this line.</t>
        </is>
      </c>
    </row>
    <row r="38" ht="28" customHeight="1">
      <c r="B38" s="14" t="inlineStr">
        <is>
          <t>B-4</t>
        </is>
      </c>
      <c r="D38" s="14" t="inlineStr">
        <is>
          <t>12-Month Owner-Required Warranty</t>
        </is>
      </c>
      <c r="H38" s="28">
        <f>J40+J52</f>
        <v/>
      </c>
      <c r="I38" s="84" t="n"/>
      <c r="J38" s="28">
        <f>H38*I38</f>
        <v/>
      </c>
      <c r="K38" s="83" t="inlineStr">
        <is>
          <t>OPEN — warranty % not set (template leftover was 1%).</t>
        </is>
      </c>
    </row>
    <row r="40">
      <c r="B40" s="19" t="inlineStr">
        <is>
          <t>C</t>
        </is>
      </c>
      <c r="D40" s="19" t="inlineStr">
        <is>
          <t>GENERAL CONTRACTOR DEDICATED ON-SITE PAYROLL</t>
        </is>
      </c>
      <c r="I40" s="19" t="inlineStr">
        <is>
          <t>Total</t>
        </is>
      </c>
      <c r="J40" s="12">
        <f>J42+J41</f>
        <v/>
      </c>
    </row>
    <row r="41">
      <c r="D41" s="20" t="inlineStr">
        <is>
          <t>Note: Employee gross pay (no employer markup; OH/payroll taxes/WC computed separately)</t>
        </is>
      </c>
      <c r="I41" s="14" t="inlineStr">
        <is>
          <t>Employer Payroll OH</t>
        </is>
      </c>
      <c r="J41" s="17" t="n">
        <v>0</v>
      </c>
    </row>
    <row r="42">
      <c r="B42" s="14" t="inlineStr">
        <is>
          <t>CC</t>
        </is>
      </c>
      <c r="D42" s="14" t="inlineStr">
        <is>
          <t>Payroll Subtotal (incl. WC)</t>
        </is>
      </c>
      <c r="I42" s="14" t="inlineStr">
        <is>
          <t>Subtotal</t>
        </is>
      </c>
      <c r="J42" s="28">
        <f>SUM(J44:J49)</f>
        <v/>
      </c>
    </row>
    <row r="43">
      <c r="E43" s="6" t="inlineStr">
        <is>
          <t>Rate $/wk</t>
        </is>
      </c>
      <c r="G43" s="6" t="inlineStr">
        <is>
          <t>Weeks</t>
        </is>
      </c>
      <c r="J43" s="20" t="inlineStr">
        <is>
          <t>Total</t>
        </is>
      </c>
    </row>
    <row r="44" ht="28" customHeight="1">
      <c r="B44" s="14" t="inlineStr">
        <is>
          <t>C-1</t>
        </is>
      </c>
      <c r="D44" s="14" t="inlineStr">
        <is>
          <t>On Site Laborer (full time)</t>
        </is>
      </c>
      <c r="E44" s="17" t="n">
        <v>2000</v>
      </c>
      <c r="F44" s="20" t="inlineStr">
        <is>
          <t>Per Week</t>
        </is>
      </c>
      <c r="G44" s="39" t="n"/>
      <c r="H44" s="20" t="inlineStr">
        <is>
          <t>Weeks</t>
        </is>
      </c>
      <c r="I44" s="20" t="inlineStr">
        <is>
          <t>TOTAL</t>
        </is>
      </c>
      <c r="J44" s="28">
        <f>E44*G44</f>
        <v/>
      </c>
      <c r="K44" s="83" t="inlineStr">
        <is>
          <t>OPEN — laborer weeks not set. Job duration is 21 weeks; do not invent a laborer count.</t>
        </is>
      </c>
    </row>
    <row r="45" ht="28" customHeight="1">
      <c r="B45" s="14" t="inlineStr">
        <is>
          <t>C-2</t>
        </is>
      </c>
      <c r="D45" s="14" t="inlineStr">
        <is>
          <t>On Site Laborer — Store Setup Support</t>
        </is>
      </c>
      <c r="E45" s="85" t="n">
        <v>0</v>
      </c>
      <c r="F45" s="20" t="inlineStr">
        <is>
          <t>Per Week</t>
        </is>
      </c>
      <c r="G45" s="86" t="n">
        <v>0</v>
      </c>
      <c r="H45" s="20" t="inlineStr">
        <is>
          <t>Weeks</t>
        </is>
      </c>
      <c r="I45" s="20" t="inlineStr">
        <is>
          <t>TOTAL</t>
        </is>
      </c>
      <c r="J45" s="28">
        <f>E45*G45</f>
        <v/>
      </c>
      <c r="K45" s="30" t="inlineStr">
        <is>
          <t>Not used on this project (zeroed).</t>
        </is>
      </c>
    </row>
    <row r="46">
      <c r="B46" s="14" t="inlineStr">
        <is>
          <t>C-3</t>
        </is>
      </c>
      <c r="D46" s="14" t="inlineStr">
        <is>
          <t>On Site Laborer (part time)</t>
        </is>
      </c>
      <c r="E46" s="17" t="n">
        <v>0</v>
      </c>
      <c r="F46" s="20" t="inlineStr">
        <is>
          <t>Per Week</t>
        </is>
      </c>
      <c r="G46" s="24" t="n">
        <v>0</v>
      </c>
      <c r="H46" s="20" t="inlineStr">
        <is>
          <t>Weeks</t>
        </is>
      </c>
      <c r="I46" s="20" t="inlineStr">
        <is>
          <t>TOTAL</t>
        </is>
      </c>
      <c r="J46" s="17">
        <f>E46*G46</f>
        <v/>
      </c>
    </row>
    <row r="47">
      <c r="B47" s="14" t="inlineStr">
        <is>
          <t>C-4</t>
        </is>
      </c>
      <c r="D47" s="14" t="inlineStr">
        <is>
          <t>Field Engineer</t>
        </is>
      </c>
      <c r="E47" s="17" t="n">
        <v>0</v>
      </c>
      <c r="F47" s="20" t="inlineStr">
        <is>
          <t>Per Week</t>
        </is>
      </c>
      <c r="G47" s="24" t="n">
        <v>0</v>
      </c>
      <c r="H47" s="20" t="inlineStr">
        <is>
          <t>Weeks</t>
        </is>
      </c>
      <c r="I47" s="20" t="inlineStr">
        <is>
          <t>TOTAL</t>
        </is>
      </c>
      <c r="J47" s="17">
        <f>E47*G47</f>
        <v/>
      </c>
    </row>
    <row r="48" ht="28" customHeight="1">
      <c r="B48" s="14" t="inlineStr">
        <is>
          <t>C-5</t>
        </is>
      </c>
      <c r="D48" s="14" t="inlineStr">
        <is>
          <t>Project Manager</t>
        </is>
      </c>
      <c r="E48" s="17" t="n">
        <v>3500</v>
      </c>
      <c r="F48" s="20" t="inlineStr">
        <is>
          <t>Per Week</t>
        </is>
      </c>
      <c r="G48" s="39" t="n"/>
      <c r="H48" s="20" t="inlineStr">
        <is>
          <t>Weeks</t>
        </is>
      </c>
      <c r="I48" s="20" t="inlineStr">
        <is>
          <t>TOTAL</t>
        </is>
      </c>
      <c r="J48" s="28">
        <f>E48*G48</f>
        <v/>
      </c>
      <c r="K48" s="83" t="inlineStr">
        <is>
          <t>OPEN — weeks not set. PM trip vs weekly pricing is on OPEN ITEMS.</t>
        </is>
      </c>
    </row>
    <row r="49" ht="28" customHeight="1">
      <c r="B49" s="14" t="inlineStr">
        <is>
          <t>C-6</t>
        </is>
      </c>
      <c r="D49" s="14" t="inlineStr">
        <is>
          <t>Superintendent</t>
        </is>
      </c>
      <c r="E49" s="112" t="n">
        <v>4400</v>
      </c>
      <c r="F49" s="20" t="inlineStr">
        <is>
          <t>Per Week</t>
        </is>
      </c>
      <c r="G49" s="113" t="n">
        <v>21</v>
      </c>
      <c r="H49" s="20" t="inlineStr">
        <is>
          <t>Weeks</t>
        </is>
      </c>
      <c r="I49" s="20" t="inlineStr">
        <is>
          <t>TOTAL</t>
        </is>
      </c>
      <c r="J49" s="28">
        <f>E49*G49</f>
        <v/>
      </c>
      <c r="K49" s="83" t="inlineStr">
        <is>
          <t>SET — $4,400/wk × 21 weeks (Luke 3 Sep 2026). Robert Colvin proposed, not awarded. Prior $4,300 / $5,800 figures superseded.</t>
        </is>
      </c>
    </row>
    <row r="50">
      <c r="B50" s="14" t="inlineStr">
        <is>
          <t>C-7</t>
        </is>
      </c>
      <c r="D50" s="14" t="inlineStr">
        <is>
          <t>Workers Compensation (% of payroll subtotal)</t>
        </is>
      </c>
      <c r="E50" s="23" t="n">
        <v>0.012</v>
      </c>
      <c r="F50" s="20" t="inlineStr">
        <is>
          <t>Rate</t>
        </is>
      </c>
      <c r="G50" s="17">
        <f>SUM(J44:J49)</f>
        <v/>
      </c>
      <c r="H50" s="20" t="inlineStr">
        <is>
          <t>× Subtotal</t>
        </is>
      </c>
      <c r="I50" s="20" t="inlineStr">
        <is>
          <t>TOTAL</t>
        </is>
      </c>
      <c r="J50" s="28">
        <f>E50*J42</f>
        <v/>
      </c>
      <c r="K50" t="inlineStr">
        <is>
          <t>1.2% of payroll subtotal. Separate from B-3 insurance 1.5% — do not double-count.</t>
        </is>
      </c>
    </row>
    <row r="52">
      <c r="B52" s="19" t="inlineStr">
        <is>
          <t>D</t>
        </is>
      </c>
      <c r="D52" s="19" t="inlineStr">
        <is>
          <t>GENERAL REQUIREMENTS WORK</t>
        </is>
      </c>
      <c r="I52" s="19" t="inlineStr">
        <is>
          <t>Total</t>
        </is>
      </c>
      <c r="J52" s="12">
        <f>J54+J53</f>
        <v/>
      </c>
    </row>
    <row r="53">
      <c r="I53" s="14" t="inlineStr">
        <is>
          <t>Mark-Up</t>
        </is>
      </c>
      <c r="J53" s="17" t="n">
        <v>0</v>
      </c>
    </row>
    <row r="54">
      <c r="B54" s="14" t="inlineStr">
        <is>
          <t>DD</t>
        </is>
      </c>
      <c r="I54" s="14" t="inlineStr">
        <is>
          <t>Sub Total</t>
        </is>
      </c>
      <c r="J54" s="17" t="n">
        <v>0</v>
      </c>
    </row>
    <row r="55">
      <c r="B55" s="14" t="inlineStr">
        <is>
          <t>D-1</t>
        </is>
      </c>
      <c r="D55" s="14" t="inlineStr">
        <is>
          <t>Materials, travel, supplies, small tools, and consumables</t>
        </is>
      </c>
      <c r="I55" s="14" t="inlineStr">
        <is>
          <t>T&amp;M / ALLOW</t>
        </is>
      </c>
      <c r="J55" s="17" t="n">
        <v>0</v>
      </c>
      <c r="K55" s="20" t="inlineStr">
        <is>
          <t>General conditions</t>
        </is>
      </c>
    </row>
    <row r="56">
      <c r="B56" s="14" t="inlineStr">
        <is>
          <t>D-2</t>
        </is>
      </c>
      <c r="D56" s="14" t="inlineStr">
        <is>
          <t>Construction documentation and submittals</t>
        </is>
      </c>
      <c r="I56" s="14" t="inlineStr">
        <is>
          <t>T&amp;M / ALLOW</t>
        </is>
      </c>
      <c r="J56" s="17" t="n">
        <v>0</v>
      </c>
    </row>
    <row r="57">
      <c r="B57" s="14" t="inlineStr">
        <is>
          <t>D-3</t>
        </is>
      </c>
      <c r="D57" s="14" t="inlineStr">
        <is>
          <t>Independent testing and inspecting services</t>
        </is>
      </c>
      <c r="I57" s="14" t="inlineStr">
        <is>
          <t>T&amp;M / ALLOW</t>
        </is>
      </c>
      <c r="J57" s="17" t="n">
        <v>0</v>
      </c>
      <c r="K57" s="20" t="inlineStr">
        <is>
          <t>All testing by others — see Add Alternates</t>
        </is>
      </c>
    </row>
    <row r="58">
      <c r="B58" s="14" t="inlineStr">
        <is>
          <t>D-4</t>
        </is>
      </c>
      <c r="D58" s="14" t="inlineStr">
        <is>
          <t>X-ray concrete slabs / GPR / exploratory items</t>
        </is>
      </c>
      <c r="I58" s="14" t="inlineStr">
        <is>
          <t>T&amp;M / ALLOW</t>
        </is>
      </c>
      <c r="J58" s="17" t="n">
        <v>0</v>
      </c>
      <c r="K58" s="20" t="inlineStr">
        <is>
          <t>Included in Div 03 80 00</t>
        </is>
      </c>
    </row>
    <row r="59">
      <c r="B59" s="14" t="inlineStr">
        <is>
          <t>D-5</t>
        </is>
      </c>
      <c r="D59" s="14" t="inlineStr">
        <is>
          <t>Temporary utilities</t>
        </is>
      </c>
      <c r="I59" s="14" t="inlineStr">
        <is>
          <t>T&amp;M / ALLOW</t>
        </is>
      </c>
      <c r="J59" s="17" t="n">
        <v>0</v>
      </c>
      <c r="K59" s="20" t="inlineStr">
        <is>
          <t>By Landlord</t>
        </is>
      </c>
    </row>
    <row r="60">
      <c r="B60" s="14" t="inlineStr">
        <is>
          <t>D-6</t>
        </is>
      </c>
      <c r="D60" s="14" t="inlineStr">
        <is>
          <t>Temporary storage / staging space</t>
        </is>
      </c>
      <c r="I60" s="14" t="inlineStr">
        <is>
          <t>T&amp;M / ALLOW</t>
        </is>
      </c>
      <c r="J60" s="17" t="n">
        <v>0</v>
      </c>
    </row>
    <row r="61">
      <c r="B61" s="14" t="inlineStr">
        <is>
          <t>D-7</t>
        </is>
      </c>
      <c r="D61" s="14" t="inlineStr">
        <is>
          <t>Field office expense / WiFi</t>
        </is>
      </c>
      <c r="I61" s="14" t="inlineStr">
        <is>
          <t>T&amp;M / ALLOW</t>
        </is>
      </c>
      <c r="J61" s="17" t="n">
        <v>0</v>
      </c>
    </row>
    <row r="62">
      <c r="B62" s="14" t="inlineStr">
        <is>
          <t>D-8</t>
        </is>
      </c>
      <c r="D62" s="14" t="inlineStr">
        <is>
          <t>Vehicular access, traffic control &amp; parking</t>
        </is>
      </c>
      <c r="I62" s="14" t="inlineStr">
        <is>
          <t>T&amp;M / ALLOW</t>
        </is>
      </c>
      <c r="J62" s="17" t="n">
        <v>0</v>
      </c>
    </row>
    <row r="63">
      <c r="B63" s="14" t="inlineStr">
        <is>
          <t>D-9</t>
        </is>
      </c>
      <c r="D63" s="14" t="inlineStr">
        <is>
          <t>Roads and sidewalks, temporary</t>
        </is>
      </c>
      <c r="I63" s="14" t="inlineStr">
        <is>
          <t>T&amp;M / ALLOW</t>
        </is>
      </c>
      <c r="J63" s="17" t="n">
        <v>0</v>
      </c>
    </row>
    <row r="64">
      <c r="B64" s="14" t="inlineStr">
        <is>
          <t>D-10</t>
        </is>
      </c>
      <c r="D64" s="14" t="inlineStr">
        <is>
          <t>Temporary barriers, enclosures, barricades</t>
        </is>
      </c>
      <c r="I64" s="14" t="inlineStr">
        <is>
          <t>T&amp;M / ALLOW</t>
        </is>
      </c>
      <c r="J64" s="17" t="n">
        <v>0</v>
      </c>
      <c r="K64" s="20" t="inlineStr">
        <is>
          <t>Mall barricades by Landlord</t>
        </is>
      </c>
    </row>
    <row r="65">
      <c r="B65" s="14" t="inlineStr">
        <is>
          <t>D-11</t>
        </is>
      </c>
      <c r="D65" s="14" t="inlineStr">
        <is>
          <t>Temporary security</t>
        </is>
      </c>
      <c r="I65" s="14" t="inlineStr">
        <is>
          <t>T&amp;M / ALLOW</t>
        </is>
      </c>
      <c r="J65" s="17" t="n">
        <v>0</v>
      </c>
    </row>
    <row r="66">
      <c r="B66" s="14" t="inlineStr">
        <is>
          <t>D-12</t>
        </is>
      </c>
      <c r="D66" s="14" t="inlineStr">
        <is>
          <t>Temporary protective walkways</t>
        </is>
      </c>
      <c r="I66" s="14" t="inlineStr">
        <is>
          <t>T&amp;M / ALLOW</t>
        </is>
      </c>
      <c r="J66" s="17" t="n">
        <v>0</v>
      </c>
    </row>
    <row r="67">
      <c r="B67" s="14" t="inlineStr">
        <is>
          <t>D-13</t>
        </is>
      </c>
      <c r="D67" s="14" t="inlineStr">
        <is>
          <t>Temporary fencing</t>
        </is>
      </c>
      <c r="I67" s="14" t="inlineStr">
        <is>
          <t>T&amp;M / ALLOW</t>
        </is>
      </c>
      <c r="J67" s="17" t="n">
        <v>0</v>
      </c>
    </row>
    <row r="68">
      <c r="B68" s="14" t="inlineStr">
        <is>
          <t>D-14</t>
        </is>
      </c>
      <c r="D68" s="14" t="inlineStr">
        <is>
          <t>Temporary project signage</t>
        </is>
      </c>
      <c r="I68" s="14" t="inlineStr">
        <is>
          <t>T&amp;M / ALLOW</t>
        </is>
      </c>
      <c r="J68" s="17" t="n">
        <v>0</v>
      </c>
    </row>
    <row r="69">
      <c r="B69" s="14" t="inlineStr">
        <is>
          <t>D-15</t>
        </is>
      </c>
      <c r="D69" s="14" t="inlineStr">
        <is>
          <t>Equipment (cranes, hoists, lifts)</t>
        </is>
      </c>
      <c r="I69" s="14" t="inlineStr">
        <is>
          <t>T&amp;M / ALLOW</t>
        </is>
      </c>
      <c r="J69" s="17" t="n">
        <v>0</v>
      </c>
    </row>
    <row r="70">
      <c r="B70" s="14" t="inlineStr">
        <is>
          <t>D-16</t>
        </is>
      </c>
      <c r="D70" s="14" t="inlineStr">
        <is>
          <t>Field engineering / professional expenses / Permit Fees</t>
        </is>
      </c>
      <c r="H70" s="20" t="inlineStr">
        <is>
          <t>Permit fees NOT included in this pricing</t>
        </is>
      </c>
      <c r="I70" s="14" t="inlineStr">
        <is>
          <t>T&amp;M / ALLOW</t>
        </is>
      </c>
      <c r="J70" s="17" t="n">
        <v>0</v>
      </c>
      <c r="K70" s="20" t="inlineStr">
        <is>
          <t>Permit fees excluded</t>
        </is>
      </c>
    </row>
    <row r="71">
      <c r="B71" s="14" t="inlineStr">
        <is>
          <t>D-17</t>
        </is>
      </c>
      <c r="D71" s="14" t="inlineStr">
        <is>
          <t>Progress cleaning and debris removal</t>
        </is>
      </c>
      <c r="I71" s="14" t="inlineStr">
        <is>
          <t>T&amp;M / ALLOW</t>
        </is>
      </c>
      <c r="J71" s="17" t="n">
        <v>0</v>
      </c>
      <c r="K71" s="20" t="inlineStr">
        <is>
          <t>Daily site cleanup by GC</t>
        </is>
      </c>
    </row>
    <row r="72">
      <c r="B72" s="14" t="inlineStr">
        <is>
          <t>D-18</t>
        </is>
      </c>
      <c r="D72" s="14" t="inlineStr">
        <is>
          <t>Final clean by GC at end of job</t>
        </is>
      </c>
      <c r="I72" s="14" t="inlineStr">
        <is>
          <t>T&amp;M / ALLOW</t>
        </is>
      </c>
      <c r="J72" s="17" t="n">
        <v>0</v>
      </c>
      <c r="K72" s="20" t="inlineStr">
        <is>
          <t>Two cleans — pre-handover and pre-opening</t>
        </is>
      </c>
    </row>
    <row r="73">
      <c r="B73" s="14" t="inlineStr">
        <is>
          <t>D-19</t>
        </is>
      </c>
      <c r="D73" s="14" t="inlineStr">
        <is>
          <t>Temporary protection, dust control, tarping</t>
        </is>
      </c>
      <c r="I73" s="14" t="inlineStr">
        <is>
          <t>T&amp;M / ALLOW</t>
        </is>
      </c>
      <c r="J73" s="17" t="n">
        <v>0</v>
      </c>
      <c r="K73" s="20" t="inlineStr">
        <is>
          <t>Floor protection and dust control</t>
        </is>
      </c>
    </row>
    <row r="74">
      <c r="B74" s="14" t="inlineStr">
        <is>
          <t>D-20</t>
        </is>
      </c>
      <c r="D74" s="14" t="inlineStr">
        <is>
          <t>Building commissioning, turnover, lien releases</t>
        </is>
      </c>
      <c r="I74" s="14" t="inlineStr">
        <is>
          <t>T&amp;M / ALLOW</t>
        </is>
      </c>
      <c r="J74" s="17" t="n">
        <v>0</v>
      </c>
    </row>
    <row r="75">
      <c r="B75" s="14" t="inlineStr">
        <is>
          <t>D-21</t>
        </is>
      </c>
      <c r="D75" s="14" t="inlineStr">
        <is>
          <t>Travel expense</t>
        </is>
      </c>
      <c r="I75" s="14" t="inlineStr">
        <is>
          <t>T&amp;M / ALLOW</t>
        </is>
      </c>
      <c r="J75" s="17" t="n">
        <v>0</v>
      </c>
      <c r="K75" s="83" t="inlineStr">
        <is>
          <t>OPEN — PM travel/trips not confirmed. See OPEN ITEMS.</t>
        </is>
      </c>
    </row>
    <row r="76" ht="28" customHeight="1">
      <c r="B76" s="14" t="inlineStr">
        <is>
          <t>D-22</t>
        </is>
      </c>
      <c r="D76" s="14" t="inlineStr">
        <is>
          <t>Mall non-refundable site fees</t>
        </is>
      </c>
      <c r="H76" s="20" t="inlineStr">
        <is>
          <t>Sprinkler shut-down fees etc.</t>
        </is>
      </c>
      <c r="I76" s="14" t="inlineStr">
        <is>
          <t>T&amp;M / ALLOW</t>
        </is>
      </c>
      <c r="J76" s="17" t="n">
        <v>0</v>
      </c>
      <c r="K76" s="30" t="inlineStr">
        <is>
          <t>Mall non-refundable site fees — unit rates on MALL FEES (not entered as dollars here). Permit fees excluded / invoiced separately. Sales tax invoiced separately.</t>
        </is>
      </c>
    </row>
    <row r="80">
      <c r="D80" s="19" t="inlineStr">
        <is>
          <t>HARD COST SUBTOTAL</t>
        </is>
      </c>
      <c r="J80" s="26">
        <f>J32+J35+J40+J52</f>
        <v/>
      </c>
    </row>
  </sheetData>
  <mergeCells count="41">
    <mergeCell ref="D56:G56"/>
    <mergeCell ref="D71:G71"/>
    <mergeCell ref="D35:H35"/>
    <mergeCell ref="D58:G58"/>
    <mergeCell ref="D25:G25"/>
    <mergeCell ref="D74:G74"/>
    <mergeCell ref="D68:G68"/>
    <mergeCell ref="D24:G24"/>
    <mergeCell ref="D64:G64"/>
    <mergeCell ref="D33:G33"/>
    <mergeCell ref="D55:G55"/>
    <mergeCell ref="D67:G67"/>
    <mergeCell ref="D73:G73"/>
    <mergeCell ref="D40:H40"/>
    <mergeCell ref="D38:G38"/>
    <mergeCell ref="D52:H52"/>
    <mergeCell ref="D26:G26"/>
    <mergeCell ref="D59:G59"/>
    <mergeCell ref="E18:K18"/>
    <mergeCell ref="D69:G69"/>
    <mergeCell ref="D60:G60"/>
    <mergeCell ref="D41:H41"/>
    <mergeCell ref="D63:G63"/>
    <mergeCell ref="D32:H32"/>
    <mergeCell ref="D30:I30"/>
    <mergeCell ref="D65:G65"/>
    <mergeCell ref="D36:G36"/>
    <mergeCell ref="D57:G57"/>
    <mergeCell ref="D27:G27"/>
    <mergeCell ref="D76:G76"/>
    <mergeCell ref="D70:G70"/>
    <mergeCell ref="D61:G61"/>
    <mergeCell ref="D75:G75"/>
    <mergeCell ref="D66:G66"/>
    <mergeCell ref="D42:H42"/>
    <mergeCell ref="D80:I80"/>
    <mergeCell ref="D72:G72"/>
    <mergeCell ref="D23:H23"/>
    <mergeCell ref="D37:G37"/>
    <mergeCell ref="D28:G28"/>
    <mergeCell ref="D62:G62"/>
  </mergeCells>
  <printOptions horizontalCentered="1"/>
  <pageMargins left="0.5" right="0.5" top="0.7" bottom="0.6" header="0.3" footer="0.3"/>
  <pageSetup orientation="landscape" fitToHeight="0" fitToWidth="1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E599"/>
    <outlinePr summaryBelow="1" summaryRight="1"/>
    <pageSetUpPr fitToPage="1"/>
  </sheetPr>
  <dimension ref="B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8" customWidth="1" min="3" max="3"/>
    <col width="18" customWidth="1" min="4" max="4"/>
    <col width="16" customWidth="1" min="5" max="5"/>
    <col width="14" customWidth="1" min="6" max="6"/>
    <col width="62" customWidth="1" min="7" max="7"/>
  </cols>
  <sheetData>
    <row r="1" ht="24" customHeight="1">
      <c r="B1" s="87" t="inlineStr">
        <is>
          <t>Ralph Lauren Boca Raton Town Center 1062 — CM Fee Budget Breakdown</t>
        </is>
      </c>
    </row>
    <row r="2" ht="28" customHeight="1">
      <c r="B2" s="37" t="inlineStr">
        <is>
          <t>LUX Brand Company  |  Cost-plus CM + GC (open book, not lump sum)  |  Town Center at Boca Raton, Simon space 1062, 600 Glades Road  |  3,384 sf</t>
        </is>
      </c>
    </row>
    <row r="3" ht="28" customHeight="1">
      <c r="B3" s="37" t="inlineStr">
        <is>
          <t>Owner's representative: Charrette MG — Landis Kauffman, Claudia Mardones.  Payment: Ralph Lauren policy net 90.  Permit fees excluded / invoiced separately.  Sales tax invoiced separately.</t>
        </is>
      </c>
    </row>
    <row r="4">
      <c r="B4" s="38" t="inlineStr">
        <is>
          <t>Duration (weeks) — SET 21</t>
        </is>
      </c>
    </row>
    <row r="5" ht="32" customHeight="1">
      <c r="B5" s="113" t="n">
        <v>21</v>
      </c>
      <c r="C5" s="40" t="inlineStr">
        <is>
          <t>Weeks (single duration input for this form)</t>
        </is>
      </c>
      <c r="G5" s="83" t="inlineStr">
        <is>
          <t>SET — Luke locked 21 weeks on 3 Sep 2026. RL calendar 2027-04-02 to 2027-08-18 is ~19.5 weeks; 21 reconciles that vs the 20–23 band.</t>
        </is>
      </c>
    </row>
    <row r="7">
      <c r="B7" s="41" t="inlineStr">
        <is>
          <t>COMMERCIAL INPUTS — SET cells filled from Luke lock 3 Sep 2026. Yellow remains OPEN.</t>
        </is>
      </c>
    </row>
    <row r="8">
      <c r="C8" s="88" t="inlineStr">
        <is>
          <t>Item</t>
        </is>
      </c>
      <c r="E8" s="88" t="inlineStr">
        <is>
          <t>Input</t>
        </is>
      </c>
      <c r="G8" s="88" t="inlineStr">
        <is>
          <t>Status</t>
        </is>
      </c>
    </row>
    <row r="9">
      <c r="C9" s="40" t="inlineStr">
        <is>
          <t>Pre-construction fee (1% of project total)</t>
        </is>
      </c>
      <c r="E9" s="44" t="n"/>
      <c r="G9" s="83" t="inlineStr">
        <is>
          <t>SET as 1% of project total, payable with first pay application / NTP (not end of job). Dollar cell stays blank until trades are bid.</t>
        </is>
      </c>
    </row>
    <row r="11" ht="32" customHeight="1">
      <c r="C11" s="45" t="inlineStr">
        <is>
          <t>Weekly GC &amp; supervision $ — multiplied by Weeks (B5) when both are filled</t>
        </is>
      </c>
      <c r="E11" s="44" t="n"/>
      <c r="G11" s="83" t="inlineStr">
        <is>
          <t>OPEN — weekly GC lump not set as a single dollar. Superintendent breakout is $4,400/wk SET (GC BID FORM C-6). Do not copy $4,400 here as the full lump.</t>
        </is>
      </c>
    </row>
    <row r="12" ht="22" customHeight="1">
      <c r="C12" s="40" t="inlineStr">
        <is>
          <t>CM Fee % of cost of work</t>
        </is>
      </c>
      <c r="E12" s="114" t="n">
        <v>0.1</v>
      </c>
      <c r="G12" s="83" t="inlineStr">
        <is>
          <t>SET — Luke locked 10% on 3 Sep 2026.</t>
        </is>
      </c>
    </row>
    <row r="13" ht="22" customHeight="1">
      <c r="C13" s="40" t="inlineStr">
        <is>
          <t>Insurance %</t>
        </is>
      </c>
      <c r="E13" s="114" t="n">
        <v>0.015</v>
      </c>
      <c r="G13" s="83" t="inlineStr">
        <is>
          <t>SET — working assumption became confirmed 1.5% (limits confirmed). WC 1.2% is on GC BID FORM C-7; not included here.</t>
        </is>
      </c>
    </row>
    <row r="15">
      <c r="C15" s="40" t="inlineStr">
        <is>
          <t>CO markup % (separate from project CM fee)</t>
        </is>
      </c>
      <c r="E15" s="115" t="n"/>
      <c r="G15" s="48" t="inlineStr">
        <is>
          <t>OPEN — not set. Do not assume equal to the 10% project CM fee.</t>
        </is>
      </c>
    </row>
    <row r="16">
      <c r="C16" s="40" t="inlineStr">
        <is>
          <t>CO Insurance % (follows project insurance)</t>
        </is>
      </c>
      <c r="E16" s="47">
        <f>E13</f>
        <v/>
      </c>
      <c r="G16" s="48" t="inlineStr">
        <is>
          <t>Tracks E13 (1.5% insurance). CO markup % above is a separate OPEN line.</t>
        </is>
      </c>
    </row>
    <row r="18">
      <c r="B18" s="42" t="inlineStr">
        <is>
          <t>TRADE PACKAGES — no bid packages received; amounts 0</t>
        </is>
      </c>
    </row>
    <row r="19">
      <c r="B19" s="49" t="inlineStr">
        <is>
          <t>#</t>
        </is>
      </c>
      <c r="C19" s="49" t="inlineStr">
        <is>
          <t>Description</t>
        </is>
      </c>
      <c r="D19" s="49" t="inlineStr">
        <is>
          <t>Amount</t>
        </is>
      </c>
    </row>
    <row r="20">
      <c r="B20" s="50" t="n">
        <v>1</v>
      </c>
      <c r="C20" s="51" t="inlineStr">
        <is>
          <t>Trade package 1 — bid not received</t>
        </is>
      </c>
      <c r="D20" s="52" t="n">
        <v>0</v>
      </c>
    </row>
    <row r="21">
      <c r="B21" s="53" t="n">
        <v>2</v>
      </c>
      <c r="C21" s="54" t="inlineStr">
        <is>
          <t>Trade package 2 — bid not received</t>
        </is>
      </c>
      <c r="D21" s="55" t="n">
        <v>0</v>
      </c>
    </row>
    <row r="22">
      <c r="B22" s="50" t="n">
        <v>3</v>
      </c>
      <c r="C22" s="51" t="inlineStr">
        <is>
          <t>Trade package 3 — bid not received</t>
        </is>
      </c>
      <c r="D22" s="52" t="n">
        <v>0</v>
      </c>
    </row>
    <row r="23">
      <c r="B23" s="53" t="n">
        <v>4</v>
      </c>
      <c r="C23" s="54" t="inlineStr">
        <is>
          <t>Trade package 4 — bid not received</t>
        </is>
      </c>
      <c r="D23" s="55" t="n">
        <v>0</v>
      </c>
    </row>
    <row r="24">
      <c r="B24" s="50" t="n">
        <v>5</v>
      </c>
      <c r="C24" s="51" t="inlineStr">
        <is>
          <t>Trade package 5 — bid not received</t>
        </is>
      </c>
      <c r="D24" s="52" t="n">
        <v>0</v>
      </c>
    </row>
    <row r="25">
      <c r="B25" s="53" t="n">
        <v>6</v>
      </c>
      <c r="C25" s="54" t="inlineStr">
        <is>
          <t>Trade package 6 — bid not received</t>
        </is>
      </c>
      <c r="D25" s="55" t="n">
        <v>0</v>
      </c>
    </row>
    <row r="26">
      <c r="B26" s="50" t="n">
        <v>7</v>
      </c>
      <c r="C26" s="51" t="inlineStr">
        <is>
          <t>Trade package 7 — bid not received</t>
        </is>
      </c>
      <c r="D26" s="52" t="n">
        <v>0</v>
      </c>
    </row>
    <row r="27">
      <c r="B27" s="53" t="n">
        <v>8</v>
      </c>
      <c r="C27" s="54" t="inlineStr">
        <is>
          <t>Trade package 8 — bid not received</t>
        </is>
      </c>
      <c r="D27" s="55" t="n">
        <v>0</v>
      </c>
    </row>
    <row r="28">
      <c r="B28" s="50" t="n">
        <v>9</v>
      </c>
      <c r="C28" s="51" t="inlineStr">
        <is>
          <t>Trade package 9 — bid not received</t>
        </is>
      </c>
      <c r="D28" s="52" t="n">
        <v>0</v>
      </c>
    </row>
    <row r="29">
      <c r="B29" s="53" t="n">
        <v>10</v>
      </c>
      <c r="C29" s="54" t="inlineStr">
        <is>
          <t>Trade package 10 — bid not received</t>
        </is>
      </c>
      <c r="D29" s="55" t="n">
        <v>0</v>
      </c>
    </row>
    <row r="30">
      <c r="B30" s="50" t="n">
        <v>11</v>
      </c>
      <c r="C30" s="51" t="inlineStr">
        <is>
          <t>Trade package 11 — bid not received</t>
        </is>
      </c>
      <c r="D30" s="52" t="n">
        <v>0</v>
      </c>
    </row>
    <row r="31">
      <c r="B31" s="53" t="n">
        <v>12</v>
      </c>
      <c r="C31" s="54" t="inlineStr">
        <is>
          <t>Trade package 12 — bid not received</t>
        </is>
      </c>
      <c r="D31" s="55" t="n">
        <v>0</v>
      </c>
    </row>
    <row r="32">
      <c r="B32" s="50" t="n">
        <v>13</v>
      </c>
      <c r="C32" s="51" t="inlineStr">
        <is>
          <t>Trade package 13 — bid not received</t>
        </is>
      </c>
      <c r="D32" s="52" t="n">
        <v>0</v>
      </c>
    </row>
    <row r="33">
      <c r="B33" s="53" t="n">
        <v>14</v>
      </c>
      <c r="C33" s="54" t="inlineStr">
        <is>
          <t>Trade package 14 — bid not received</t>
        </is>
      </c>
      <c r="D33" s="55" t="n">
        <v>0</v>
      </c>
    </row>
    <row r="34">
      <c r="B34" s="50" t="n">
        <v>15</v>
      </c>
      <c r="C34" s="51" t="inlineStr">
        <is>
          <t>Trade package 15 — bid not received</t>
        </is>
      </c>
      <c r="D34" s="52" t="n">
        <v>0</v>
      </c>
    </row>
    <row r="35">
      <c r="B35" s="53" t="n">
        <v>16</v>
      </c>
      <c r="C35" s="54" t="inlineStr">
        <is>
          <t>Trade package 16 — bid not received</t>
        </is>
      </c>
      <c r="D35" s="55" t="n">
        <v>0</v>
      </c>
    </row>
    <row r="36">
      <c r="B36" s="50" t="n">
        <v>17</v>
      </c>
      <c r="C36" s="51" t="inlineStr">
        <is>
          <t>Trade package 17 — bid not received</t>
        </is>
      </c>
      <c r="D36" s="52" t="n">
        <v>0</v>
      </c>
    </row>
    <row r="37">
      <c r="B37" s="53" t="n">
        <v>18</v>
      </c>
      <c r="C37" s="54" t="inlineStr">
        <is>
          <t>Trade package 18 — bid not received</t>
        </is>
      </c>
      <c r="D37" s="55" t="n">
        <v>0</v>
      </c>
    </row>
    <row r="38">
      <c r="B38" s="50" t="n">
        <v>19</v>
      </c>
      <c r="C38" s="51" t="inlineStr">
        <is>
          <t>Trade package 19 — bid not received</t>
        </is>
      </c>
      <c r="D38" s="52" t="n">
        <v>0</v>
      </c>
    </row>
    <row r="39">
      <c r="B39" s="53" t="n">
        <v>20</v>
      </c>
      <c r="C39" s="54" t="inlineStr">
        <is>
          <t>Trade package 20 — bid not received</t>
        </is>
      </c>
      <c r="D39" s="55" t="n">
        <v>0</v>
      </c>
    </row>
    <row r="40">
      <c r="C40" s="56" t="inlineStr">
        <is>
          <t>General Conditions (Weekly GC × Weeks)</t>
        </is>
      </c>
      <c r="D40" s="57">
        <f>IF(OR(E11="",B5=""),0,E11*B5)</f>
        <v/>
      </c>
      <c r="G40" s="30" t="inlineStr">
        <is>
          <t>Returns 0 while weekly GC lump (E11) is OPEN. Super $4,400 × 21 is on GC BID FORM C-6, not this lump.</t>
        </is>
      </c>
    </row>
    <row r="41">
      <c r="C41" s="56" t="inlineStr">
        <is>
          <t>CM Fee (fee % × (trades + GC dollars))</t>
        </is>
      </c>
      <c r="D41" s="57">
        <f>IF(E12="",0,E12*(SUM(D20:D39)+D40))</f>
        <v/>
      </c>
      <c r="G41" s="30" t="inlineStr">
        <is>
          <t>CM fee set at 10%. Dollar is 0 while trade packages are $0.</t>
        </is>
      </c>
    </row>
    <row r="42">
      <c r="C42" s="56" t="inlineStr">
        <is>
          <t>Insurance (ins % × (trades + GC dollars))</t>
        </is>
      </c>
      <c r="D42" s="57">
        <f>IF(E13="",0,E13*(SUM(D20:D39)+D40))</f>
        <v/>
      </c>
      <c r="G42" s="30" t="inlineStr">
        <is>
          <t>Insurance set at 1.5%. Dollar is 0 while trade packages are $0. WC 1.2% is not in this line.</t>
        </is>
      </c>
    </row>
    <row r="44" ht="22" customHeight="1">
      <c r="B44" s="58" t="inlineStr">
        <is>
          <t>FORM ROLLUP (not a lump-sum bid)</t>
        </is>
      </c>
      <c r="D44" s="59">
        <f>SUM(D20:D42)</f>
        <v/>
      </c>
      <c r="G44" s="83" t="inlineStr">
        <is>
          <t>Not a job grand total. Trades $0; weekly GC lump OPEN; pre-con dollars OPEN; CO markup OPEN.</t>
        </is>
      </c>
    </row>
    <row r="46" ht="20" customHeight="1">
      <c r="B46" s="60" t="inlineStr">
        <is>
          <t>Landis-shaped fee form after Luke lock 3 Sep 2026. SET: B5 = 21 weeks, E12 = 10% CM, E13 = 1.5% insurance. Pre-con is 1% of project total / first pay app (E9 dollar blank). E11 weekly GC lump and E15 CO markup stay OPEN. Trade rows stay $0 until packages are bid. Not a send to Charrette. See OPEN ITEMS, MALL FEES, and PROPOSED ROSTER.</t>
        </is>
      </c>
    </row>
    <row r="47" ht="20" customHeight="1"/>
    <row r="48" ht="20" customHeight="1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  <col width="14" customWidth="1" min="4" max="4"/>
    <col width="18" customWidth="1" min="5" max="5"/>
  </cols>
  <sheetData>
    <row r="1" ht="22" customHeight="1">
      <c r="A1" s="61" t="inlineStr">
        <is>
          <t>ITEMS — Luke lock 3 Sep 2026. SET rows are closed. Yellow rows stay OPEN.</t>
        </is>
      </c>
    </row>
    <row r="2" ht="32" customHeight="1">
      <c r="A2" s="30" t="inlineStr">
        <is>
          <t>Closed by Luke on 3 Sep 2026: 21 weeks, $4,400/wk superintendent, 10% CM fee, 1.5% insurance, 1% pre-construction (first pay app / NTP). Leftover figures below are historical — SET rows use the locked number.</t>
        </is>
      </c>
    </row>
    <row r="3">
      <c r="A3" s="64" t="inlineStr">
        <is>
          <t>#</t>
        </is>
      </c>
      <c r="B3" s="64" t="inlineStr">
        <is>
          <t>Item</t>
        </is>
      </c>
      <c r="C3" s="64" t="inlineStr">
        <is>
          <t>Leftover figure (if any)</t>
        </is>
      </c>
      <c r="D3" s="64" t="inlineStr">
        <is>
          <t>Status</t>
        </is>
      </c>
      <c r="E3" s="64" t="inlineStr">
        <is>
          <t>Owner</t>
        </is>
      </c>
    </row>
    <row r="4" ht="48" customHeight="1">
      <c r="A4" s="116" t="n">
        <v>1</v>
      </c>
      <c r="B4" s="117" t="inlineStr">
        <is>
          <t>Duration (weeks)</t>
        </is>
      </c>
      <c r="C4" s="118" t="inlineStr">
        <is>
          <t>SET 21 weeks (Luke 3 Sep 2026). Intake calendar ~19.5 weeks (2027-04-02 to 2027-08-18). 20–23 week band reconciled at 21. Leftover 13 weeks not used.</t>
        </is>
      </c>
      <c r="D4" s="119" t="inlineStr">
        <is>
          <t>SET</t>
        </is>
      </c>
      <c r="E4" s="120" t="inlineStr">
        <is>
          <t>Luke</t>
        </is>
      </c>
    </row>
    <row r="5" ht="48" customHeight="1">
      <c r="A5" s="116" t="n">
        <v>2</v>
      </c>
      <c r="B5" s="117" t="inlineStr">
        <is>
          <t>Superintendent weekly rate</t>
        </is>
      </c>
      <c r="C5" s="118" t="inlineStr">
        <is>
          <t>SET $4,400/wk (Luke 3 Sep 2026). Prior leftover $5,800 and Shawn 8/21 $4,300 superseded. On GC C-6.</t>
        </is>
      </c>
      <c r="D5" s="119" t="inlineStr">
        <is>
          <t>SET</t>
        </is>
      </c>
      <c r="E5" s="120" t="inlineStr">
        <is>
          <t>Luke</t>
        </is>
      </c>
    </row>
    <row r="6" ht="48" customHeight="1">
      <c r="A6" s="116" t="n">
        <v>3</v>
      </c>
      <c r="B6" s="117" t="inlineStr">
        <is>
          <t>CM fee / OH&amp;P %</t>
        </is>
      </c>
      <c r="C6" s="118" t="inlineStr">
        <is>
          <t>SET 10% (Luke 3 Sep 2026). Written to GC A-1 I33 and Landis E12.</t>
        </is>
      </c>
      <c r="D6" s="119" t="inlineStr">
        <is>
          <t>SET</t>
        </is>
      </c>
      <c r="E6" s="120" t="inlineStr">
        <is>
          <t>Luke</t>
        </is>
      </c>
    </row>
    <row r="7" ht="48" customHeight="1">
      <c r="A7" s="116" t="n">
        <v>4</v>
      </c>
      <c r="B7" s="117" t="inlineStr">
        <is>
          <t>Insurance %</t>
        </is>
      </c>
      <c r="C7" s="118" t="inlineStr">
        <is>
          <t>SET 1.5% (Luke 3 Sep 2026; limits confirmed). Written to GC B-3 I37 and Landis E13. WC 1.2% stays on GC C-7 — not double-counted.</t>
        </is>
      </c>
      <c r="D7" s="119" t="inlineStr">
        <is>
          <t>SET</t>
        </is>
      </c>
      <c r="E7" s="120" t="inlineStr">
        <is>
          <t>Luke</t>
        </is>
      </c>
    </row>
    <row r="8" ht="48" customHeight="1">
      <c r="A8" s="65" t="n">
        <v>5</v>
      </c>
      <c r="B8" s="66" t="inlineStr">
        <is>
          <t>PM trips / PM pricing</t>
        </is>
      </c>
      <c r="C8" s="89" t="inlineStr">
        <is>
          <t>Still OPEN. Shawn 8/21: 4 trips × $1,500? Prior sheet leftover $3,500/wk × 7 weeks. Not invented. Job duration is 21 weeks; PM weeks/trips not filled.</t>
        </is>
      </c>
      <c r="D8" s="90" t="inlineStr">
        <is>
          <t>OPEN</t>
        </is>
      </c>
      <c r="E8" s="91" t="inlineStr">
        <is>
          <t>Shawn</t>
        </is>
      </c>
    </row>
    <row r="9" ht="48" customHeight="1">
      <c r="A9" s="65" t="n">
        <v>6</v>
      </c>
      <c r="B9" s="66" t="inlineStr">
        <is>
          <t>Main-office OH %</t>
        </is>
      </c>
      <c r="C9" s="89" t="inlineStr">
        <is>
          <t>Template leftover 1% — not used. Not copied onto I36.</t>
        </is>
      </c>
      <c r="D9" s="90" t="inlineStr">
        <is>
          <t>OPEN</t>
        </is>
      </c>
      <c r="E9" s="91" t="inlineStr">
        <is>
          <t>Luke</t>
        </is>
      </c>
    </row>
    <row r="11" ht="28" customHeight="1">
      <c r="A11" s="30" t="inlineStr">
        <is>
          <t>Color: yellow = OPEN. Owner is the person to close the item (Luke / Shawn / Landis). Calendar dates on COVER are intake facts, not a filled duration cell.</t>
        </is>
      </c>
    </row>
    <row r="12">
      <c r="A12" s="121" t="n">
        <v>7</v>
      </c>
      <c r="B12" s="121" t="inlineStr">
        <is>
          <t>Pre-construction fee</t>
        </is>
      </c>
      <c r="C12" s="121" t="inlineStr">
        <is>
          <t>SET 1% of project total, payable with first pay application / NTP (not end of job). Dollar blank until trades are bid.</t>
        </is>
      </c>
      <c r="D12" s="121" t="inlineStr">
        <is>
          <t>SET (rate) / OPEN (dollar)</t>
        </is>
      </c>
      <c r="E12" s="121" t="inlineStr">
        <is>
          <t>Luke</t>
        </is>
      </c>
    </row>
    <row r="13">
      <c r="A13" s="122" t="n">
        <v>8</v>
      </c>
      <c r="B13" s="122" t="inlineStr">
        <is>
          <t>CO markup %</t>
        </is>
      </c>
      <c r="C13" s="122" t="inlineStr">
        <is>
          <t>Separate line. Not set. Do not assume equal to the 10% project CM fee. Landis E15 left blank.</t>
        </is>
      </c>
      <c r="D13" s="122" t="inlineStr">
        <is>
          <t>OPEN</t>
        </is>
      </c>
      <c r="E13" s="122" t="inlineStr">
        <is>
          <t>Luke</t>
        </is>
      </c>
    </row>
    <row r="14">
      <c r="A14" s="122" t="n">
        <v>9</v>
      </c>
      <c r="B14" s="122" t="inlineStr">
        <is>
          <t>Weekly GC lump</t>
        </is>
      </c>
      <c r="C14" s="122" t="inlineStr">
        <is>
          <t>Still a weekly lump with breakouts. Super $4,400 SET. Do not invent a combined weekly GC dollar (PM still OPEN).</t>
        </is>
      </c>
      <c r="D14" s="122" t="inlineStr">
        <is>
          <t>OPEN (lump)</t>
        </is>
      </c>
      <c r="E14" s="122" t="inlineStr">
        <is>
          <t>Luke</t>
        </is>
      </c>
    </row>
    <row r="15">
      <c r="A15" s="122" t="n">
        <v>10</v>
      </c>
      <c r="B15" s="122" t="inlineStr">
        <is>
          <t>Parking months / sprinkler shutdown count</t>
        </is>
      </c>
      <c r="C15" s="122" t="inlineStr">
        <is>
          <t>Unit rates listed ($250/mo, $250 each). Counts not filled. Do not invent from 21 weeks.</t>
        </is>
      </c>
      <c r="D15" s="122" t="inlineStr">
        <is>
          <t>OPEN</t>
        </is>
      </c>
      <c r="E15" s="122" t="inlineStr">
        <is>
          <t>Shawn / Landis</t>
        </is>
      </c>
    </row>
    <row r="16">
      <c r="A16" s="122" t="n">
        <v>11</v>
      </c>
      <c r="B16" s="122" t="inlineStr">
        <is>
          <t>Grand total / trade packages</t>
        </is>
      </c>
      <c r="C16" s="122" t="inlineStr">
        <is>
          <t>Packages 1–20 stay $0. Grand total depends on unbid trades. Not invented.</t>
        </is>
      </c>
      <c r="D16" s="122" t="inlineStr">
        <is>
          <t>OPEN</t>
        </is>
      </c>
      <c r="E16" s="122" t="inlineStr">
        <is>
          <t>Bids</t>
        </is>
      </c>
    </row>
    <row r="17">
      <c r="A17" s="122" t="n">
        <v>12</v>
      </c>
      <c r="B17" s="122" t="inlineStr">
        <is>
          <t>Net 90 vs net 45</t>
        </is>
      </c>
      <c r="C17" s="122" t="inlineStr">
        <is>
          <t>Ralph Lauren payment policy is net 90. LBC standard is net 45. Gap still noted, not closed.</t>
        </is>
      </c>
      <c r="D17" s="122" t="inlineStr">
        <is>
          <t>OPEN</t>
        </is>
      </c>
      <c r="E17" s="122" t="inlineStr">
        <is>
          <t>Luke / Charrette</t>
        </is>
      </c>
    </row>
    <row r="19">
      <c r="A19" t="inlineStr">
        <is>
          <t>Blue-gray = SET (Luke 3 Sep 2026). Yellow = OPEN. Calendar dates on COVER are intake facts. Fee-form duration is 21 weeks.</t>
        </is>
      </c>
    </row>
  </sheetData>
  <mergeCells count="3">
    <mergeCell ref="A2:E2"/>
    <mergeCell ref="A11:E11"/>
    <mergeCell ref="A1:E1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16" customWidth="1" min="5" max="5"/>
    <col width="18" customWidth="1" min="6" max="6"/>
    <col width="18" customWidth="1" min="7" max="7"/>
    <col width="42" customWidth="1" min="8" max="8"/>
  </cols>
  <sheetData>
    <row r="1" ht="24" customHeight="1">
      <c r="B1" s="74" t="inlineStr">
        <is>
          <t>Mall fees — Shawn listed unit rates on 3,384 sf (not a job grand total)</t>
        </is>
      </c>
    </row>
    <row r="2" ht="28" customHeight="1">
      <c r="B2" s="37" t="inlineStr">
        <is>
          <t>LUX Brand Company  |  Ralph Lauren  |  Town Center at Boca Raton, Simon space 1062  |  Permit fees excluded / invoiced separately  |  Sales tax invoiced separately</t>
        </is>
      </c>
    </row>
    <row r="4">
      <c r="B4" s="56" t="inlineStr">
        <is>
          <t>Area (sf)</t>
        </is>
      </c>
      <c r="C4" s="92" t="n">
        <v>3384</v>
      </c>
      <c r="D4" s="48" t="inlineStr">
        <is>
          <t>Shawn listed sf — used only to extend $/sf mall items below</t>
        </is>
      </c>
    </row>
    <row r="6">
      <c r="B6" s="64" t="inlineStr">
        <is>
          <t>Item</t>
        </is>
      </c>
      <c r="C6" s="64" t="inlineStr">
        <is>
          <t>Unit rate</t>
        </is>
      </c>
      <c r="D6" s="64" t="inlineStr">
        <is>
          <t>Unit</t>
        </is>
      </c>
      <c r="E6" s="64" t="inlineStr">
        <is>
          <t>Qty</t>
        </is>
      </c>
      <c r="F6" s="64" t="inlineStr">
        <is>
          <t>Extension</t>
        </is>
      </c>
      <c r="G6" s="64" t="inlineStr">
        <is>
          <t>Status</t>
        </is>
      </c>
      <c r="H6" s="64" t="inlineStr">
        <is>
          <t>Notes</t>
        </is>
      </c>
    </row>
    <row r="7" ht="28" customHeight="1">
      <c r="B7" s="78" t="inlineStr">
        <is>
          <t>Temporary electric</t>
        </is>
      </c>
      <c r="C7" s="93" t="n">
        <v>0.43</v>
      </c>
      <c r="D7" s="50" t="inlineStr">
        <is>
          <t>$/sf</t>
        </is>
      </c>
      <c r="E7" s="94" t="n">
        <v>3384</v>
      </c>
      <c r="F7" s="95">
        <f>C7*$C$4</f>
        <v/>
      </c>
      <c r="G7" s="96" t="inlineStr">
        <is>
          <t>Listed</t>
        </is>
      </c>
      <c r="H7" s="97" t="inlineStr">
        <is>
          <t>Shawn listed $0.43/sf × 3,384 sf. Extension is rate × sf, not a job total.</t>
        </is>
      </c>
    </row>
    <row r="8" ht="28" customHeight="1">
      <c r="B8" s="78" t="inlineStr">
        <is>
          <t>Temporary water</t>
        </is>
      </c>
      <c r="C8" s="93" t="n">
        <v>0.1</v>
      </c>
      <c r="D8" s="50" t="inlineStr">
        <is>
          <t>$/sf</t>
        </is>
      </c>
      <c r="E8" s="94" t="n">
        <v>3384</v>
      </c>
      <c r="F8" s="95">
        <f>C8*$C$4</f>
        <v/>
      </c>
      <c r="G8" s="96" t="inlineStr">
        <is>
          <t>Listed</t>
        </is>
      </c>
      <c r="H8" s="97" t="inlineStr">
        <is>
          <t>Shawn listed $0.10/sf × 3,384 sf. Extension is rate × sf, not a job total.</t>
        </is>
      </c>
    </row>
    <row r="9" ht="28" customHeight="1">
      <c r="B9" s="78" t="inlineStr">
        <is>
          <t>After hours</t>
        </is>
      </c>
      <c r="C9" s="93" t="n">
        <v>400</v>
      </c>
      <c r="D9" s="50" t="inlineStr">
        <is>
          <t>one-time</t>
        </is>
      </c>
      <c r="E9" s="98" t="n">
        <v>1</v>
      </c>
      <c r="F9" s="95">
        <f>C9*E9</f>
        <v/>
      </c>
      <c r="G9" s="96" t="inlineStr">
        <is>
          <t>Listed</t>
        </is>
      </c>
      <c r="H9" s="97" t="inlineStr">
        <is>
          <t>Shawn listed $400 one-time.</t>
        </is>
      </c>
    </row>
    <row r="10" ht="28" customHeight="1">
      <c r="B10" s="78" t="inlineStr">
        <is>
          <t>Parking</t>
        </is>
      </c>
      <c r="C10" s="93" t="n">
        <v>250</v>
      </c>
      <c r="D10" s="50" t="inlineStr">
        <is>
          <t>$/month</t>
        </is>
      </c>
      <c r="E10" s="99" t="n"/>
      <c r="F10" s="95">
        <f>IF(E10="","",C10*E10)</f>
        <v/>
      </c>
      <c r="G10" s="90" t="inlineStr">
        <is>
          <t>OPEN</t>
        </is>
      </c>
      <c r="H10" s="97" t="inlineStr">
        <is>
          <t>Shawn listed $250/mo. Month count not filled (do not invent from calendar weeks).</t>
        </is>
      </c>
    </row>
    <row r="11" ht="28" customHeight="1">
      <c r="B11" s="78" t="inlineStr">
        <is>
          <t>Tenant coordination</t>
        </is>
      </c>
      <c r="C11" s="93" t="n">
        <v>250</v>
      </c>
      <c r="D11" s="50" t="inlineStr">
        <is>
          <t>one-time</t>
        </is>
      </c>
      <c r="E11" s="98" t="n">
        <v>1</v>
      </c>
      <c r="F11" s="95">
        <f>C11*E11</f>
        <v/>
      </c>
      <c r="G11" s="96" t="inlineStr">
        <is>
          <t>Listed</t>
        </is>
      </c>
      <c r="H11" s="97" t="inlineStr">
        <is>
          <t>Shawn listed $250 one-time.</t>
        </is>
      </c>
    </row>
    <row r="12" ht="28" customHeight="1">
      <c r="B12" s="78" t="inlineStr">
        <is>
          <t>Sprinkler shutdown</t>
        </is>
      </c>
      <c r="C12" s="93" t="n">
        <v>250</v>
      </c>
      <c r="D12" s="50" t="inlineStr">
        <is>
          <t>each</t>
        </is>
      </c>
      <c r="E12" s="99" t="n"/>
      <c r="F12" s="95">
        <f>IF(E12="","",C12*E12)</f>
        <v/>
      </c>
      <c r="G12" s="90" t="inlineStr">
        <is>
          <t>OPEN</t>
        </is>
      </c>
      <c r="H12" s="97" t="inlineStr">
        <is>
          <t>Shawn listed $250 each. Count not filled.</t>
        </is>
      </c>
    </row>
    <row r="14">
      <c r="B14" s="100" t="inlineStr">
        <is>
          <t>Permit fees</t>
        </is>
      </c>
      <c r="C14" s="101" t="inlineStr">
        <is>
          <t>Excluded / invoiced separately. Not extended on this sheet.</t>
        </is>
      </c>
      <c r="D14" s="109" t="n"/>
      <c r="E14" s="109" t="n"/>
      <c r="F14" s="109" t="n"/>
      <c r="G14" s="109" t="n"/>
      <c r="H14" s="110" t="n"/>
    </row>
    <row r="15">
      <c r="B15" s="100" t="inlineStr">
        <is>
          <t>Sales tax</t>
        </is>
      </c>
      <c r="C15" s="101" t="inlineStr">
        <is>
          <t>Invoiced separately. Not extended on this sheet.</t>
        </is>
      </c>
      <c r="D15" s="109" t="n"/>
      <c r="E15" s="109" t="n"/>
      <c r="F15" s="109" t="n"/>
      <c r="G15" s="109" t="n"/>
      <c r="H15" s="110" t="n"/>
    </row>
    <row r="17" ht="20" customHeight="1">
      <c r="B17" s="103" t="inlineStr">
        <is>
          <t>No job grand total is shown. Parking months and sprinkler-shutdown count stay OPEN (do not invent from 21 weeks). GC BID FORM D-22 (J76) remains $0 until mall fees are confirmed and entered. Green extensions are listed-rate × known qty only.</t>
        </is>
      </c>
    </row>
    <row r="18" ht="20" customHeight="1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B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42" customWidth="1" min="3" max="3"/>
    <col width="18" customWidth="1" min="4" max="4"/>
    <col width="48" customWidth="1" min="5" max="5"/>
  </cols>
  <sheetData>
    <row r="1" ht="24" customHeight="1">
      <c r="B1" s="74" t="inlineStr">
        <is>
          <t>Proposed roster — Shawn 8/21  (proposed, not awarded)</t>
        </is>
      </c>
    </row>
    <row r="2" ht="32" customHeight="1">
      <c r="B2" s="37" t="inlineStr">
        <is>
          <t>LUX Brand Company  |  Ralph Lauren  |  Town Center at Boca Raton, Simon space 1062  |  Names below are proposed only. No trade-package dollars on LANDIS FORM until bids are received.</t>
        </is>
      </c>
    </row>
    <row r="4">
      <c r="B4" s="64" t="inlineStr">
        <is>
          <t>Scope</t>
        </is>
      </c>
      <c r="C4" s="64" t="inlineStr">
        <is>
          <t>Proposed firm</t>
        </is>
      </c>
      <c r="D4" s="64" t="inlineStr">
        <is>
          <t>Status</t>
        </is>
      </c>
      <c r="E4" s="64" t="inlineStr">
        <is>
          <t>Notes</t>
        </is>
      </c>
    </row>
    <row r="5" ht="22" customHeight="1">
      <c r="B5" s="104" t="inlineStr">
        <is>
          <t>Superintendent</t>
        </is>
      </c>
      <c r="C5" s="101" t="inlineStr">
        <is>
          <t>Robert Colvin</t>
        </is>
      </c>
      <c r="D5" s="53" t="inlineStr">
        <is>
          <t>Proposed</t>
        </is>
      </c>
      <c r="E5" s="105" t="inlineStr">
        <is>
          <t>Proposed, not awarded. Weekly rate set $4,400 (Luke 3 Sep 2026).</t>
        </is>
      </c>
    </row>
    <row r="6" ht="22" customHeight="1">
      <c r="B6" s="106" t="inlineStr">
        <is>
          <t>Demo</t>
        </is>
      </c>
      <c r="C6" s="107" t="inlineStr">
        <is>
          <t>MSA Painting</t>
        </is>
      </c>
      <c r="D6" s="96" t="inlineStr">
        <is>
          <t>Proposed</t>
        </is>
      </c>
      <c r="E6" s="108" t="inlineStr">
        <is>
          <t>Not awarded.</t>
        </is>
      </c>
    </row>
    <row r="7" ht="22" customHeight="1">
      <c r="B7" s="104" t="inlineStr">
        <is>
          <t>Scan / cut</t>
        </is>
      </c>
      <c r="C7" s="101" t="inlineStr">
        <is>
          <t>Big T</t>
        </is>
      </c>
      <c r="D7" s="53" t="inlineStr">
        <is>
          <t>Proposed</t>
        </is>
      </c>
      <c r="E7" s="105" t="inlineStr">
        <is>
          <t>Not awarded.</t>
        </is>
      </c>
    </row>
    <row r="8" ht="22" customHeight="1">
      <c r="B8" s="106" t="inlineStr">
        <is>
          <t>Framing / drywall</t>
        </is>
      </c>
      <c r="C8" s="107" t="inlineStr">
        <is>
          <t>Hunt Interiors</t>
        </is>
      </c>
      <c r="D8" s="96" t="inlineStr">
        <is>
          <t>Proposed</t>
        </is>
      </c>
      <c r="E8" s="108" t="inlineStr">
        <is>
          <t>Not awarded.</t>
        </is>
      </c>
    </row>
    <row r="9" ht="22" customHeight="1">
      <c r="B9" s="104" t="inlineStr">
        <is>
          <t>Electrical</t>
        </is>
      </c>
      <c r="C9" s="101" t="inlineStr">
        <is>
          <t>TBD — Alcor or South Palm</t>
        </is>
      </c>
      <c r="D9" s="53" t="inlineStr">
        <is>
          <t>Proposed / TBD</t>
        </is>
      </c>
      <c r="E9" s="105" t="inlineStr">
        <is>
          <t>Not awarded. Firm not selected.</t>
        </is>
      </c>
    </row>
    <row r="10" ht="22" customHeight="1">
      <c r="B10" s="106" t="inlineStr">
        <is>
          <t>Low voltage</t>
        </is>
      </c>
      <c r="C10" s="107" t="inlineStr">
        <is>
          <t>TBD — Alcor or South Palm</t>
        </is>
      </c>
      <c r="D10" s="96" t="inlineStr">
        <is>
          <t>Proposed / TBD</t>
        </is>
      </c>
      <c r="E10" s="108" t="inlineStr">
        <is>
          <t>Same shortlist as electrical. Not awarded.</t>
        </is>
      </c>
    </row>
    <row r="11" ht="22" customHeight="1">
      <c r="B11" s="104" t="inlineStr">
        <is>
          <t>Plumbing</t>
        </is>
      </c>
      <c r="C11" s="101" t="inlineStr">
        <is>
          <t>Langes</t>
        </is>
      </c>
      <c r="D11" s="53" t="inlineStr">
        <is>
          <t>Proposed</t>
        </is>
      </c>
      <c r="E11" s="105" t="inlineStr">
        <is>
          <t>Not awarded.</t>
        </is>
      </c>
    </row>
    <row r="12" ht="22" customHeight="1">
      <c r="B12" s="106" t="inlineStr">
        <is>
          <t>HVAC</t>
        </is>
      </c>
      <c r="C12" s="107" t="inlineStr">
        <is>
          <t>Air South</t>
        </is>
      </c>
      <c r="D12" s="96" t="inlineStr">
        <is>
          <t>Proposed</t>
        </is>
      </c>
      <c r="E12" s="108" t="inlineStr">
        <is>
          <t>Not awarded.</t>
        </is>
      </c>
    </row>
    <row r="13" ht="22" customHeight="1">
      <c r="B13" s="104" t="inlineStr">
        <is>
          <t>Storefront</t>
        </is>
      </c>
      <c r="C13" s="101" t="inlineStr">
        <is>
          <t>TBD — RSG or Abbott</t>
        </is>
      </c>
      <c r="D13" s="53" t="inlineStr">
        <is>
          <t>Proposed / TBD</t>
        </is>
      </c>
      <c r="E13" s="105" t="inlineStr">
        <is>
          <t>Not awarded. Firm not selected.</t>
        </is>
      </c>
    </row>
    <row r="14" ht="22" customHeight="1">
      <c r="B14" s="106" t="inlineStr">
        <is>
          <t>Flooring</t>
        </is>
      </c>
      <c r="C14" s="107" t="inlineStr">
        <is>
          <t>Twins</t>
        </is>
      </c>
      <c r="D14" s="96" t="inlineStr">
        <is>
          <t>Proposed</t>
        </is>
      </c>
      <c r="E14" s="108" t="inlineStr">
        <is>
          <t>Not awarded.</t>
        </is>
      </c>
    </row>
    <row r="15" ht="22" customHeight="1">
      <c r="B15" s="104" t="inlineStr">
        <is>
          <t>Paint</t>
        </is>
      </c>
      <c r="C15" s="101" t="inlineStr">
        <is>
          <t>National Retail Painting</t>
        </is>
      </c>
      <c r="D15" s="53" t="inlineStr">
        <is>
          <t>Proposed</t>
        </is>
      </c>
      <c r="E15" s="105" t="inlineStr">
        <is>
          <t>Not awarded.</t>
        </is>
      </c>
    </row>
    <row r="16" ht="22" customHeight="1">
      <c r="B16" s="106" t="inlineStr">
        <is>
          <t>Sprinklers</t>
        </is>
      </c>
      <c r="C16" s="107" t="inlineStr">
        <is>
          <t>Polaris</t>
        </is>
      </c>
      <c r="D16" s="96" t="inlineStr">
        <is>
          <t>Proposed (mall)</t>
        </is>
      </c>
      <c r="E16" s="108" t="inlineStr">
        <is>
          <t>Mall-required. Not awarded.</t>
        </is>
      </c>
    </row>
    <row r="17" ht="22" customHeight="1">
      <c r="B17" s="104" t="inlineStr">
        <is>
          <t>Fire alarm</t>
        </is>
      </c>
      <c r="C17" s="101" t="inlineStr">
        <is>
          <t>JCI</t>
        </is>
      </c>
      <c r="D17" s="53" t="inlineStr">
        <is>
          <t>Proposed (mall)</t>
        </is>
      </c>
      <c r="E17" s="105" t="inlineStr">
        <is>
          <t>Mall-required. Not awarded.</t>
        </is>
      </c>
    </row>
    <row r="18" ht="22" customHeight="1">
      <c r="B18" s="106" t="inlineStr">
        <is>
          <t>FA rough-in</t>
        </is>
      </c>
      <c r="C18" s="107" t="inlineStr">
        <is>
          <t>South Palm</t>
        </is>
      </c>
      <c r="D18" s="96" t="inlineStr">
        <is>
          <t>Proposed (mall)</t>
        </is>
      </c>
      <c r="E18" s="108" t="inlineStr">
        <is>
          <t>Mall-required. Not awarded.</t>
        </is>
      </c>
    </row>
    <row r="19" ht="22" customHeight="1">
      <c r="B19" s="104" t="inlineStr">
        <is>
          <t>Roof</t>
        </is>
      </c>
      <c r="C19" s="101" t="inlineStr">
        <is>
          <t>RSS if needed</t>
        </is>
      </c>
      <c r="D19" s="53" t="inlineStr">
        <is>
          <t>Proposed (mall)</t>
        </is>
      </c>
      <c r="E19" s="105" t="inlineStr">
        <is>
          <t>Mall. Only if needed. Not awarded.</t>
        </is>
      </c>
    </row>
    <row r="20" ht="22" customHeight="1">
      <c r="B20" s="106" t="inlineStr">
        <is>
          <t>Doors</t>
        </is>
      </c>
      <c r="C20" s="107" t="inlineStr">
        <is>
          <t>TBD</t>
        </is>
      </c>
      <c r="D20" s="96" t="inlineStr">
        <is>
          <t>Proposed / TBD</t>
        </is>
      </c>
      <c r="E20" s="108" t="inlineStr">
        <is>
          <t>Firm not listed. Not awarded.</t>
        </is>
      </c>
    </row>
    <row r="21" ht="22" customHeight="1">
      <c r="B21" s="104" t="inlineStr">
        <is>
          <t>BOH millwork</t>
        </is>
      </c>
      <c r="C21" s="101" t="inlineStr">
        <is>
          <t>Woodchuck</t>
        </is>
      </c>
      <c r="D21" s="53" t="inlineStr">
        <is>
          <t>Proposed</t>
        </is>
      </c>
      <c r="E21" s="105" t="inlineStr">
        <is>
          <t>Not awarded.</t>
        </is>
      </c>
    </row>
    <row r="22" ht="22" customHeight="1">
      <c r="B22" s="106" t="inlineStr">
        <is>
          <t>Carpentry</t>
        </is>
      </c>
      <c r="C22" s="107" t="inlineStr">
        <is>
          <t>LBC</t>
        </is>
      </c>
      <c r="D22" s="96" t="inlineStr">
        <is>
          <t>Proposed</t>
        </is>
      </c>
      <c r="E22" s="108" t="inlineStr">
        <is>
          <t>LUX Brand Company carpentry. Not awarded as a trade package.</t>
        </is>
      </c>
    </row>
    <row r="23" ht="22" customHeight="1">
      <c r="B23" s="104" t="inlineStr">
        <is>
          <t>Final clean</t>
        </is>
      </c>
      <c r="C23" s="101" t="inlineStr">
        <is>
          <t>Filthy Clean</t>
        </is>
      </c>
      <c r="D23" s="53" t="inlineStr">
        <is>
          <t>Proposed</t>
        </is>
      </c>
      <c r="E23" s="105" t="inlineStr">
        <is>
          <t>Not awarded.</t>
        </is>
      </c>
    </row>
    <row r="24" ht="22" customHeight="1">
      <c r="B24" s="106" t="inlineStr">
        <is>
          <t>Dumpsters</t>
        </is>
      </c>
      <c r="C24" s="107" t="inlineStr">
        <is>
          <t>Coastal Waste</t>
        </is>
      </c>
      <c r="D24" s="96" t="inlineStr">
        <is>
          <t>Proposed (mall)</t>
        </is>
      </c>
      <c r="E24" s="108" t="inlineStr">
        <is>
          <t>Mall. Not awarded.</t>
        </is>
      </c>
    </row>
    <row r="26" ht="28" customHeight="1">
      <c r="B26" s="30" t="inlineStr">
        <is>
          <t>Proposed, not awarded. No CSI trade dollars were invented for this roster. LANDIS FORM trade rows remain $0.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LUX Brand Company</dc:creator>
  <dc:title>Ralph Lauren Boca Raton — Cost-Plus CM Exhibit</dc:title>
  <dc:subject>First-draft open-book exhibit, not a lump-sum bid</dc:subject>
  <dc:language>en-US</dc:language>
  <dcterms:created xsi:type="dcterms:W3CDTF">2026-04-27T20:13:40Z</dcterms:created>
  <dcterms:modified xsi:type="dcterms:W3CDTF">2026-09-03T21:52:36Z</dcterms:modified>
  <cp:lastModifiedBy>Shawn Rasmusen</cp:lastModifiedBy>
  <cp:revision>0</cp:revision>
</cp:coreProperties>
</file>