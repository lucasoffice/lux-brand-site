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RATES" sheetId="2" r:id="rId2"/>
    <sheet name="MALL FEES" sheetId="3" r:id="rId3"/>
    <sheet name="PROPOSED ROSTER" sheetId="4" r:id="rId4"/>
    <sheet name="PAYMENT ASK" sheetId="5" r:id="rId5"/>
  </sheets>
  <definedNames>
    <definedName name="_xlnm.Print_Area" localSheetId="0">COVER!$B$2:$C$28</definedName>
    <definedName name="_xlnm.Print_Area" localSheetId="2">'MALL FEES'!$B$1:$H$17</definedName>
    <definedName name="_xlnm.Print_Area" localSheetId="4">'PAYMENT ASK'!$B$2:$C$15</definedName>
    <definedName name="_xlnm.Print_Area" localSheetId="3">'PROPOSED ROSTER'!$B$1:$E$26</definedName>
    <definedName name="_xlnm.Print_Area" localSheetId="1">RATES!$B$2:$E$20</definedName>
  </definedNames>
  <calcPr calcId="124519" fullCalcOnLoad="1"/>
</workbook>
</file>

<file path=xl/sharedStrings.xml><?xml version="1.0" encoding="utf-8"?>
<sst xmlns="http://schemas.openxmlformats.org/spreadsheetml/2006/main" count="245" uniqueCount="185">
  <si>
    <t>LUX Brand Company</t>
  </si>
  <si>
    <t>Ralph Lauren  —  Town Center at Boca Raton</t>
  </si>
  <si>
    <t>Open-book cost-plus CM exhibit · 4 Sep 2026 · not a lump-sum bid. Form math is GC/fee only until trades are bid.</t>
  </si>
  <si>
    <t>JOB IDENTITY</t>
  </si>
  <si>
    <t>Client</t>
  </si>
  <si>
    <t>Ralph Lauren</t>
  </si>
  <si>
    <t>Location</t>
  </si>
  <si>
    <t>Town Center at Boca Raton, Simon space 1062, 600 Glades Road</t>
  </si>
  <si>
    <t>Area</t>
  </si>
  <si>
    <t>3,384 sf</t>
  </si>
  <si>
    <t>Owner's representative</t>
  </si>
  <si>
    <t>Charrette MG — Landis Kauffman, Claudia Mardones</t>
  </si>
  <si>
    <t>Contract</t>
  </si>
  <si>
    <t>Cost-plus / CM + GC (not lump sum)</t>
  </si>
  <si>
    <t>GC</t>
  </si>
  <si>
    <t>Architect</t>
  </si>
  <si>
    <t>TPG</t>
  </si>
  <si>
    <t>RL NDA</t>
  </si>
  <si>
    <t>2026-07-14</t>
  </si>
  <si>
    <t>RL contact on drawings</t>
  </si>
  <si>
    <t>dorit.alexander@ralphlauren.com</t>
  </si>
  <si>
    <t>Calendar (intake)</t>
  </si>
  <si>
    <t>Commence 2027-04-02  ·  Substantial 2027-08-18  ·  Final 2027-08-25  ·  Duration used: 21 weeks (Set)</t>
  </si>
  <si>
    <t>Permit fees</t>
  </si>
  <si>
    <t>Excluded / invoiced separately</t>
  </si>
  <si>
    <t>Sales tax</t>
  </si>
  <si>
    <t>Invoiced separately</t>
  </si>
  <si>
    <t>SET COMMERCIAL TERMS</t>
  </si>
  <si>
    <t>Sets (4 Sep 2026)</t>
  </si>
  <si>
    <t>21 weeks · CM 10% · CO 10% (one-or-the-other with CM, not stacked) · Super $4,400/wk · PM $3,500/wk + 4 trips · Parking $1,250 (5 mo × $250) · Insurance 1.5% · Pre-con 1% first pay app / NTP · Payment ask net 30</t>
  </si>
  <si>
    <t>NOTES</t>
  </si>
  <si>
    <t>Open book</t>
  </si>
  <si>
    <t>Preliminary open-book CM exhibit for Charrette review. Not a lump-sum bid and not an awarded contract price.</t>
  </si>
  <si>
    <t>Set vs open</t>
  </si>
  <si>
    <t>Filled Set values above are confirmed. Trade packages, sprinkler-shutdown count, and grand total stay Open / TBD until bids.</t>
  </si>
  <si>
    <t>CM / CO</t>
  </si>
  <si>
    <t>CM 10% and CO 10% are one-or-the-other. Not stacked on the same dollars.</t>
  </si>
  <si>
    <t>Insurance</t>
  </si>
  <si>
    <t>1.5% liability insurance. Workers' compensation 1.2% of payroll is a separate GC payroll line and is not in this insurance %.</t>
  </si>
  <si>
    <t>Sheets</t>
  </si>
  <si>
    <t>COVER  |  RATES  |  MALL FEES  |  PROPOSED ROSTER  |  PAYMENT ASK</t>
  </si>
  <si>
    <t>Commercial rates — Set items only</t>
  </si>
  <si>
    <t>LUX Brand Company  ·  Ralph Lauren  ·  Town Center space 1062  ·  Cost-plus CM, open book. Not a bid total.</t>
  </si>
  <si>
    <t>Item</t>
  </si>
  <si>
    <t>Set value</t>
  </si>
  <si>
    <t>Notes</t>
  </si>
  <si>
    <t>Status</t>
  </si>
  <si>
    <t>Project duration</t>
  </si>
  <si>
    <t>21 weeks</t>
  </si>
  <si>
    <t>Duration used for superintendent weeks and parking months. Intake calendar ~19.5 weeks (2027-04-02 to 2027-08-18).</t>
  </si>
  <si>
    <t>Set</t>
  </si>
  <si>
    <t>Superintendent</t>
  </si>
  <si>
    <t>$4,400 / wk</t>
  </si>
  <si>
    <t>Robert Colvin proposed, not awarded. Weekly rate × 21 weeks = $92,400 GC/supervision subtotal (not a job total).</t>
  </si>
  <si>
    <t>Project manager</t>
  </si>
  <si>
    <t>$3,500 / wk + 4 trips</t>
  </si>
  <si>
    <t>Shawn Rasmusen. Weekly rate is the unit; trip count Set at 4. Week burn enters when scheduled.</t>
  </si>
  <si>
    <t>CM fee % of cost of work</t>
  </si>
  <si>
    <t>10%</t>
  </si>
  <si>
    <t>Of cost of work. Cost of work = trades (TBD) + weekly GC.</t>
  </si>
  <si>
    <t>CO markup %</t>
  </si>
  <si>
    <t>One-or-the-other with CM 10%. Not stacked on the same dollars.</t>
  </si>
  <si>
    <t>Liability insurance</t>
  </si>
  <si>
    <t>1.5%</t>
  </si>
  <si>
    <t>Workers' compensation 1.2% of payroll is a separate GC payroll line and is not included here.</t>
  </si>
  <si>
    <t>Pre-construction fee</t>
  </si>
  <si>
    <t>1% of project total</t>
  </si>
  <si>
    <t>Payable with the first application for payment / NTP. Dollar follows project total once trades are bid.</t>
  </si>
  <si>
    <t>Parking</t>
  </si>
  <si>
    <t>$1,250</t>
  </si>
  <si>
    <t>5 months × $250 from the 21-week duration. See MALL FEES.</t>
  </si>
  <si>
    <t>Main-office overhead</t>
  </si>
  <si>
    <t>N/A</t>
  </si>
  <si>
    <t>Not used on this exhibit.</t>
  </si>
  <si>
    <t>Trade packages 1–20</t>
  </si>
  <si>
    <t>TBD</t>
  </si>
  <si>
    <t>Competitive bid. Amounts stay blank until bids are received. Do not treat $0 as a bid.</t>
  </si>
  <si>
    <t>Open / TBD</t>
  </si>
  <si>
    <t>Sprinkler-shutdown count</t>
  </si>
  <si>
    <t>Unit rate $250 each on MALL FEES. Count still Open.</t>
  </si>
  <si>
    <t>Grand total</t>
  </si>
  <si>
    <t>No invented job total. Form rollups without trades are GC/fee math only.</t>
  </si>
  <si>
    <t>CM 10% and CO 10% are one-or-the-other, not stacked. Permit fees and sales tax invoiced separately.</t>
  </si>
  <si>
    <t>Mall fees — Town Center at Boca Raton, 3,384 sf</t>
  </si>
  <si>
    <t>LUX Brand Company  ·  Ralph Lauren  ·  Simon space 1062  ·  Unit rates, not a bid total  ·  Permit fees and sales tax invoiced separately</t>
  </si>
  <si>
    <t>Area (sf)</t>
  </si>
  <si>
    <t>Project area used to extend per-square-foot items</t>
  </si>
  <si>
    <t>Unit rate</t>
  </si>
  <si>
    <t>Unit</t>
  </si>
  <si>
    <t>Qty</t>
  </si>
  <si>
    <t>Extension</t>
  </si>
  <si>
    <t>Temporary electric</t>
  </si>
  <si>
    <t>$/sf</t>
  </si>
  <si>
    <t>Listed</t>
  </si>
  <si>
    <t>$0.43/sf × 3,384 sf.</t>
  </si>
  <si>
    <t>Temporary water</t>
  </si>
  <si>
    <t>$0.10/sf × 3,384 sf.</t>
  </si>
  <si>
    <t>After hours</t>
  </si>
  <si>
    <t>one-time</t>
  </si>
  <si>
    <t>$400 one-time.</t>
  </si>
  <si>
    <t>$/month</t>
  </si>
  <si>
    <t>Set — 5 months</t>
  </si>
  <si>
    <t>$250 × 5 months = $1,250 (from 21-week duration).</t>
  </si>
  <si>
    <t>Tenant coordination</t>
  </si>
  <si>
    <t>$250 one-time.</t>
  </si>
  <si>
    <t>Sprinkler shutdown</t>
  </si>
  <si>
    <t>each</t>
  </si>
  <si>
    <t>Qty pending</t>
  </si>
  <si>
    <t>$250 each. Count to be confirmed.</t>
  </si>
  <si>
    <t>Excluded / invoiced separately. Not extended on this sheet.</t>
  </si>
  <si>
    <t>Invoiced separately. Not extended on this sheet.</t>
  </si>
  <si>
    <t>Parking is Set at 5 months × $250 = $1,250. Sprinkler-shutdown count still Open / TBD. Not a mall bid total.</t>
  </si>
  <si>
    <t>Proposed roster — proposed, not awarded</t>
  </si>
  <si>
    <t>LUX Brand Company  ·  Ralph Lauren  ·  Town Center space 1062  ·  Names below are proposed only. Trade-package dollars enter after bids.</t>
  </si>
  <si>
    <t>Scope</t>
  </si>
  <si>
    <t>Proposed firm</t>
  </si>
  <si>
    <t>Robert Colvin</t>
  </si>
  <si>
    <t>Proposed</t>
  </si>
  <si>
    <t>Proposed, not awarded.</t>
  </si>
  <si>
    <t>Demo</t>
  </si>
  <si>
    <t>MSA Painting</t>
  </si>
  <si>
    <t>Not awarded.</t>
  </si>
  <si>
    <t>Scan / cut</t>
  </si>
  <si>
    <t>Big T</t>
  </si>
  <si>
    <t>Framing / drywall</t>
  </si>
  <si>
    <t>Hunt Interiors</t>
  </si>
  <si>
    <t>Electrical</t>
  </si>
  <si>
    <t>TBD — Alcor or South Palm</t>
  </si>
  <si>
    <t>Proposed / TBD</t>
  </si>
  <si>
    <t>Not awarded. Firm not selected.</t>
  </si>
  <si>
    <t>Low voltage</t>
  </si>
  <si>
    <t>Same shortlist as electrical. Not awarded.</t>
  </si>
  <si>
    <t>Plumbing</t>
  </si>
  <si>
    <t>Langes</t>
  </si>
  <si>
    <t>HVAC</t>
  </si>
  <si>
    <t>Air South</t>
  </si>
  <si>
    <t>Storefront</t>
  </si>
  <si>
    <t>TBD — RSG or Abbott</t>
  </si>
  <si>
    <t>Flooring</t>
  </si>
  <si>
    <t>Twins</t>
  </si>
  <si>
    <t>Paint</t>
  </si>
  <si>
    <t>National Retail Painting</t>
  </si>
  <si>
    <t>Sprinklers</t>
  </si>
  <si>
    <t>Polaris</t>
  </si>
  <si>
    <t>Proposed (mall)</t>
  </si>
  <si>
    <t>Mall-required. Not awarded.</t>
  </si>
  <si>
    <t>Fire alarm</t>
  </si>
  <si>
    <t>Johnson Controls</t>
  </si>
  <si>
    <t>FA rough-in</t>
  </si>
  <si>
    <t>South Palm</t>
  </si>
  <si>
    <t>Roof</t>
  </si>
  <si>
    <t>RSS if needed</t>
  </si>
  <si>
    <t>Mall. Only if needed. Not awarded.</t>
  </si>
  <si>
    <t>Doors</t>
  </si>
  <si>
    <t>Firm not listed. Not awarded.</t>
  </si>
  <si>
    <t>BOH millwork</t>
  </si>
  <si>
    <t>Woodchuck</t>
  </si>
  <si>
    <t>Carpentry</t>
  </si>
  <si>
    <t>LBC</t>
  </si>
  <si>
    <t>LUX Brand Company carpentry. Not awarded as a trade package.</t>
  </si>
  <si>
    <t>Final clean</t>
  </si>
  <si>
    <t>Filthy Clean</t>
  </si>
  <si>
    <t>Dumpsters</t>
  </si>
  <si>
    <t>Coastal Waste</t>
  </si>
  <si>
    <t>Mall. Not awarded.</t>
  </si>
  <si>
    <t>Proposed, not awarded. Trade-package amounts are entered after bids are received.</t>
  </si>
  <si>
    <t>Payment ask — net 30</t>
  </si>
  <si>
    <t>LUX Brand Company  ·  Ralph Lauren Boca  ·  monthly % complete applications  ·  cost-plus open book</t>
  </si>
  <si>
    <t>ASK</t>
  </si>
  <si>
    <t>Opening ask</t>
  </si>
  <si>
    <t>Net 30 on monthly percent-complete pay applications.</t>
  </si>
  <si>
    <t>If net 30 is refused</t>
  </si>
  <si>
    <t>Net 45 is a possible settlement band. It is not an LBC standard and is not the opening ask.</t>
  </si>
  <si>
    <t>Ralph Lauren stated policy</t>
  </si>
  <si>
    <t>Net 90. Recorded as stated policy; LBC opening ask remains net 30.</t>
  </si>
  <si>
    <t>Application rhythm</t>
  </si>
  <si>
    <t>Monthly percent-complete applications on an open-book cost-plus CM.</t>
  </si>
  <si>
    <t>1% of project total, payable with the first application for payment / NTP. Not held to the end of the job.</t>
  </si>
  <si>
    <t>Permit fees / sales tax</t>
  </si>
  <si>
    <t>Invoiced separately. No markup on permits.</t>
  </si>
  <si>
    <t>Cash-impact PDF</t>
  </si>
  <si>
    <t>Companion CLIENT PDF: cashflow/RL-Boca-PAYMENT-TERMS-CASH-IMPACT-CLIENT-2026-09-04.pdf</t>
  </si>
  <si>
    <t>GUARDRAIL</t>
  </si>
  <si>
    <t>Do not restate</t>
  </si>
  <si>
    <t>Do not call net 45 the LBC standard. Do not present net 90 as the LBC ask. Opening ask is net 30.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</si>
</sst>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$#,##0.00"/>
    <numFmt numFmtId="166" formatCode="$#,##0"/>
  </numFmts>
  <fonts count="7">
    <font>
      <sz val="11"/>
      <color rgb="FF031E3A"/>
      <name val="Calibri"/>
      <family val="2"/>
      <scheme val="minor"/>
    </font>
    <font>
      <b/>
      <sz val="16"/>
      <color rgb="FF031E3A"/>
      <name val="Calibri"/>
      <family val="2"/>
      <scheme val="minor"/>
    </font>
    <font>
      <b/>
      <sz val="13"/>
      <color rgb="FF031E3A"/>
      <name val="Calibri"/>
      <family val="2"/>
      <scheme val="minor"/>
    </font>
    <font>
      <sz val="10"/>
      <color rgb="FF6B7A8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31E3A"/>
      <name val="Calibri"/>
      <family val="2"/>
      <scheme val="minor"/>
    </font>
    <font>
      <b/>
      <sz val="10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31E3A"/>
        <bgColor indexed="64"/>
      </patternFill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31E3A"/>
      </left>
      <right style="thin">
        <color rgb="FF031E3A"/>
      </right>
      <top style="thin">
        <color rgb="FF031E3A"/>
      </top>
      <bottom style="thin">
        <color rgb="FF031E3A"/>
      </bottom>
      <diagonal/>
    </border>
    <border>
      <left style="thin">
        <color rgb="FFD0D5DA"/>
      </left>
      <right style="thin">
        <color rgb="FFD0D5DA"/>
      </right>
      <top style="thin">
        <color rgb="FFD0D5DA"/>
      </top>
      <bottom style="thin">
        <color rgb="FFD0D5D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2" borderId="0" xfId="0" applyFont="1" applyFill="1" applyAlignment="1">
      <alignment horizontal="left" vertical="center"/>
    </xf>
    <xf numFmtId="0" fontId="5" fillId="0" borderId="0" xfId="0" applyFont="1"/>
    <xf numFmtId="0" fontId="0" fillId="0" borderId="0" xfId="0" applyAlignment="1">
      <alignment wrapText="1"/>
    </xf>
    <xf numFmtId="0" fontId="6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64" fontId="0" fillId="0" borderId="2" xfId="0" applyNumberFormat="1" applyBorder="1" applyAlignment="1">
      <alignment vertical="center"/>
    </xf>
    <xf numFmtId="165" fontId="0" fillId="0" borderId="2" xfId="0" applyNumberFormat="1" applyBorder="1" applyAlignment="1">
      <alignment vertical="center"/>
    </xf>
    <xf numFmtId="166" fontId="0" fillId="0" borderId="2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A2:C28"/>
  <sheetViews>
    <sheetView showGridLines="0" tabSelected="1" workbookViewId="0"/>
  </sheetViews>
  <sheetFormatPr defaultRowHeight="18" customHeight="1"/>
  <cols>
    <col min="1" max="1" width="3.7109375" customWidth="1"/>
    <col min="2" max="2" width="28.7109375" customWidth="1"/>
    <col min="3" max="3" width="88.7109375" customWidth="1"/>
    <col min="4" max="5" width="12.7109375" customWidth="1"/>
  </cols>
  <sheetData>
    <row r="2" spans="2:3" ht="22" customHeight="1">
      <c r="B2" s="1" t="s">
        <v>0</v>
      </c>
    </row>
    <row r="3" spans="2:3" ht="18" customHeight="1">
      <c r="B3" s="2" t="s">
        <v>1</v>
      </c>
    </row>
    <row r="4" spans="2:3" ht="18" customHeight="1">
      <c r="B4" s="3" t="s">
        <v>2</v>
      </c>
    </row>
    <row r="6" spans="2:3" ht="18" customHeight="1">
      <c r="B6" s="4" t="s">
        <v>3</v>
      </c>
      <c r="C6" s="4"/>
    </row>
    <row r="7" spans="2:3" ht="18" customHeight="1">
      <c r="B7" s="5" t="s">
        <v>4</v>
      </c>
      <c r="C7" s="6" t="s">
        <v>5</v>
      </c>
    </row>
    <row r="8" spans="2:3" ht="18" customHeight="1">
      <c r="B8" s="5" t="s">
        <v>6</v>
      </c>
      <c r="C8" s="6" t="s">
        <v>7</v>
      </c>
    </row>
    <row r="9" spans="2:3" ht="18" customHeight="1">
      <c r="B9" s="5" t="s">
        <v>8</v>
      </c>
      <c r="C9" s="6" t="s">
        <v>9</v>
      </c>
    </row>
    <row r="10" spans="2:3" ht="18" customHeight="1">
      <c r="B10" s="5" t="s">
        <v>10</v>
      </c>
      <c r="C10" s="6" t="s">
        <v>11</v>
      </c>
    </row>
    <row r="11" spans="2:3" ht="18" customHeight="1">
      <c r="B11" s="5" t="s">
        <v>12</v>
      </c>
      <c r="C11" s="6" t="s">
        <v>13</v>
      </c>
    </row>
    <row r="12" spans="2:3" ht="18" customHeight="1">
      <c r="B12" s="5" t="s">
        <v>14</v>
      </c>
      <c r="C12" s="6" t="s">
        <v>0</v>
      </c>
    </row>
    <row r="13" spans="2:3" ht="18" customHeight="1">
      <c r="B13" s="5" t="s">
        <v>15</v>
      </c>
      <c r="C13" s="6" t="s">
        <v>16</v>
      </c>
    </row>
    <row r="14" spans="2:3" ht="18" customHeight="1">
      <c r="B14" s="5" t="s">
        <v>17</v>
      </c>
      <c r="C14" s="6" t="s">
        <v>18</v>
      </c>
    </row>
    <row r="15" spans="2:3" ht="18" customHeight="1">
      <c r="B15" s="5" t="s">
        <v>19</v>
      </c>
      <c r="C15" s="6" t="s">
        <v>20</v>
      </c>
    </row>
    <row r="16" spans="2:3" ht="18" customHeight="1">
      <c r="B16" s="5" t="s">
        <v>21</v>
      </c>
      <c r="C16" s="6" t="s">
        <v>22</v>
      </c>
    </row>
    <row r="17" spans="2:3" ht="18" customHeight="1">
      <c r="B17" s="5" t="s">
        <v>23</v>
      </c>
      <c r="C17" s="6" t="s">
        <v>24</v>
      </c>
    </row>
    <row r="18" spans="2:3" ht="18" customHeight="1">
      <c r="B18" s="5" t="s">
        <v>25</v>
      </c>
      <c r="C18" s="6" t="s">
        <v>26</v>
      </c>
    </row>
    <row r="20" spans="2:3" ht="18" customHeight="1">
      <c r="B20" s="4" t="s">
        <v>27</v>
      </c>
      <c r="C20" s="4"/>
    </row>
    <row r="21" spans="2:3" ht="18" customHeight="1">
      <c r="B21" s="5" t="s">
        <v>28</v>
      </c>
      <c r="C21" s="6" t="s">
        <v>29</v>
      </c>
    </row>
    <row r="22" spans="2:3" ht="36" customHeight="1"/>
    <row r="23" spans="2:3" ht="18" customHeight="1">
      <c r="B23" s="4" t="s">
        <v>30</v>
      </c>
      <c r="C23" s="4"/>
    </row>
    <row r="24" spans="2:3" ht="18" customHeight="1">
      <c r="B24" s="5" t="s">
        <v>31</v>
      </c>
      <c r="C24" s="6" t="s">
        <v>32</v>
      </c>
    </row>
    <row r="25" spans="2:3" ht="18" customHeight="1">
      <c r="B25" s="5" t="s">
        <v>33</v>
      </c>
      <c r="C25" s="6" t="s">
        <v>34</v>
      </c>
    </row>
    <row r="26" spans="2:3" ht="18" customHeight="1">
      <c r="B26" s="5" t="s">
        <v>35</v>
      </c>
      <c r="C26" s="6" t="s">
        <v>36</v>
      </c>
    </row>
    <row r="27" spans="2:3" ht="18" customHeight="1">
      <c r="B27" s="5" t="s">
        <v>37</v>
      </c>
      <c r="C27" s="6" t="s">
        <v>38</v>
      </c>
    </row>
    <row r="28" spans="2:3" ht="18" customHeight="1">
      <c r="B28" s="5" t="s">
        <v>39</v>
      </c>
      <c r="C28" s="6" t="s">
        <v>40</v>
      </c>
    </row>
  </sheetData>
  <mergeCells count="3">
    <mergeCell ref="B6:C6"/>
    <mergeCell ref="B20:C20"/>
    <mergeCell ref="B23:C23"/>
  </mergeCells>
  <pageMargins left="0.5" right="0.5" top="0.5" bottom="0.5" header="0.3" footer="0.3"/>
  <pageSetup paperSize="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2:E20"/>
  <sheetViews>
    <sheetView showGridLines="0" workbookViewId="0"/>
  </sheetViews>
  <sheetFormatPr defaultRowHeight="18" customHeight="1"/>
  <cols>
    <col min="1" max="1" width="3.7109375" customWidth="1"/>
    <col min="2" max="2" width="32.7109375" customWidth="1"/>
    <col min="3" max="3" width="28.7109375" customWidth="1"/>
    <col min="4" max="4" width="62.7109375" customWidth="1"/>
    <col min="5" max="5" width="16.7109375" customWidth="1"/>
  </cols>
  <sheetData>
    <row r="2" spans="2:5" ht="18" customHeight="1">
      <c r="B2" s="1" t="s">
        <v>41</v>
      </c>
    </row>
    <row r="3" spans="2:5" ht="18" customHeight="1">
      <c r="B3" s="3" t="s">
        <v>42</v>
      </c>
    </row>
    <row r="6" spans="2:5" ht="18" customHeight="1">
      <c r="B6" s="7" t="s">
        <v>43</v>
      </c>
      <c r="C6" s="7" t="s">
        <v>44</v>
      </c>
      <c r="D6" s="7" t="s">
        <v>45</v>
      </c>
      <c r="E6" s="7" t="s">
        <v>46</v>
      </c>
    </row>
    <row r="7" spans="2:5" ht="32" customHeight="1">
      <c r="B7" s="8" t="s">
        <v>47</v>
      </c>
      <c r="C7" s="9" t="s">
        <v>48</v>
      </c>
      <c r="D7" s="9" t="s">
        <v>49</v>
      </c>
      <c r="E7" s="9" t="s">
        <v>50</v>
      </c>
    </row>
    <row r="8" spans="2:5" ht="32" customHeight="1">
      <c r="B8" s="8" t="s">
        <v>51</v>
      </c>
      <c r="C8" s="10" t="s">
        <v>52</v>
      </c>
      <c r="D8" s="10" t="s">
        <v>53</v>
      </c>
      <c r="E8" s="10" t="s">
        <v>50</v>
      </c>
    </row>
    <row r="9" spans="2:5" ht="32" customHeight="1">
      <c r="B9" s="8" t="s">
        <v>54</v>
      </c>
      <c r="C9" s="9" t="s">
        <v>55</v>
      </c>
      <c r="D9" s="9" t="s">
        <v>56</v>
      </c>
      <c r="E9" s="9" t="s">
        <v>50</v>
      </c>
    </row>
    <row r="10" spans="2:5" ht="32" customHeight="1">
      <c r="B10" s="8" t="s">
        <v>57</v>
      </c>
      <c r="C10" s="10" t="s">
        <v>58</v>
      </c>
      <c r="D10" s="10" t="s">
        <v>59</v>
      </c>
      <c r="E10" s="10" t="s">
        <v>50</v>
      </c>
    </row>
    <row r="11" spans="2:5" ht="32" customHeight="1">
      <c r="B11" s="8" t="s">
        <v>60</v>
      </c>
      <c r="C11" s="9" t="s">
        <v>58</v>
      </c>
      <c r="D11" s="9" t="s">
        <v>61</v>
      </c>
      <c r="E11" s="9" t="s">
        <v>50</v>
      </c>
    </row>
    <row r="12" spans="2:5" ht="32" customHeight="1">
      <c r="B12" s="8" t="s">
        <v>62</v>
      </c>
      <c r="C12" s="10" t="s">
        <v>63</v>
      </c>
      <c r="D12" s="10" t="s">
        <v>64</v>
      </c>
      <c r="E12" s="10" t="s">
        <v>50</v>
      </c>
    </row>
    <row r="13" spans="2:5" ht="32" customHeight="1">
      <c r="B13" s="8" t="s">
        <v>65</v>
      </c>
      <c r="C13" s="9" t="s">
        <v>66</v>
      </c>
      <c r="D13" s="9" t="s">
        <v>67</v>
      </c>
      <c r="E13" s="9" t="s">
        <v>50</v>
      </c>
    </row>
    <row r="14" spans="2:5" ht="32" customHeight="1">
      <c r="B14" s="8" t="s">
        <v>68</v>
      </c>
      <c r="C14" s="10" t="s">
        <v>69</v>
      </c>
      <c r="D14" s="10" t="s">
        <v>70</v>
      </c>
      <c r="E14" s="10" t="s">
        <v>50</v>
      </c>
    </row>
    <row r="15" spans="2:5" ht="32" customHeight="1">
      <c r="B15" s="8" t="s">
        <v>71</v>
      </c>
      <c r="C15" s="9" t="s">
        <v>72</v>
      </c>
      <c r="D15" s="9" t="s">
        <v>73</v>
      </c>
      <c r="E15" s="9" t="s">
        <v>72</v>
      </c>
    </row>
    <row r="16" spans="2:5" ht="32" customHeight="1">
      <c r="B16" s="8" t="s">
        <v>74</v>
      </c>
      <c r="C16" s="10" t="s">
        <v>75</v>
      </c>
      <c r="D16" s="10" t="s">
        <v>76</v>
      </c>
      <c r="E16" s="10" t="s">
        <v>77</v>
      </c>
    </row>
    <row r="17" spans="2:5" ht="32" customHeight="1">
      <c r="B17" s="8" t="s">
        <v>78</v>
      </c>
      <c r="C17" s="9" t="s">
        <v>75</v>
      </c>
      <c r="D17" s="9" t="s">
        <v>79</v>
      </c>
      <c r="E17" s="9" t="s">
        <v>77</v>
      </c>
    </row>
    <row r="18" spans="2:5" ht="32" customHeight="1">
      <c r="B18" s="8" t="s">
        <v>80</v>
      </c>
      <c r="C18" s="10" t="s">
        <v>77</v>
      </c>
      <c r="D18" s="10" t="s">
        <v>81</v>
      </c>
      <c r="E18" s="10" t="s">
        <v>77</v>
      </c>
    </row>
    <row r="20" spans="2:5" ht="18" customHeight="1">
      <c r="B20" s="3" t="s">
        <v>82</v>
      </c>
    </row>
  </sheetData>
  <pageMargins left="0.5" right="0.5" top="0.5" bottom="0.5" header="0.3" footer="0.3"/>
  <pageSetup paperSize="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1:H17"/>
  <sheetViews>
    <sheetView showGridLines="0" workbookViewId="0"/>
  </sheetViews>
  <sheetFormatPr defaultRowHeight="18" customHeight="1"/>
  <cols>
    <col min="1" max="1" width="3.7109375" customWidth="1"/>
    <col min="2" max="2" width="28.7109375" customWidth="1"/>
    <col min="3" max="4" width="14.7109375" customWidth="1"/>
    <col min="5" max="5" width="10.7109375" customWidth="1"/>
    <col min="6" max="6" width="14.7109375" customWidth="1"/>
    <col min="7" max="7" width="18.7109375" customWidth="1"/>
    <col min="8" max="8" width="42.7109375" customWidth="1"/>
  </cols>
  <sheetData>
    <row r="1" spans="2:8" ht="18" customHeight="1">
      <c r="B1" s="1" t="s">
        <v>83</v>
      </c>
    </row>
    <row r="2" spans="2:8" ht="18" customHeight="1">
      <c r="B2" s="3" t="s">
        <v>84</v>
      </c>
    </row>
    <row r="4" spans="2:8" ht="18" customHeight="1">
      <c r="B4" s="5" t="s">
        <v>85</v>
      </c>
      <c r="C4" s="11">
        <v>3384</v>
      </c>
      <c r="D4" s="3" t="s">
        <v>86</v>
      </c>
    </row>
    <row r="6" spans="2:8" ht="18" customHeight="1">
      <c r="B6" s="7" t="s">
        <v>43</v>
      </c>
      <c r="C6" s="7" t="s">
        <v>87</v>
      </c>
      <c r="D6" s="7" t="s">
        <v>88</v>
      </c>
      <c r="E6" s="7" t="s">
        <v>89</v>
      </c>
      <c r="F6" s="7" t="s">
        <v>90</v>
      </c>
      <c r="G6" s="7" t="s">
        <v>46</v>
      </c>
      <c r="H6" s="7" t="s">
        <v>45</v>
      </c>
    </row>
    <row r="7" spans="2:8" ht="18" customHeight="1">
      <c r="B7" s="9" t="s">
        <v>91</v>
      </c>
      <c r="C7" s="12">
        <v>0.43</v>
      </c>
      <c r="D7" s="9" t="s">
        <v>92</v>
      </c>
      <c r="E7" s="11">
        <v>3384</v>
      </c>
      <c r="F7" s="12">
        <f>C7*E7</f>
        <v>0</v>
      </c>
      <c r="G7" s="9" t="s">
        <v>93</v>
      </c>
      <c r="H7" s="9" t="s">
        <v>94</v>
      </c>
    </row>
    <row r="8" spans="2:8" ht="18" customHeight="1">
      <c r="B8" s="9" t="s">
        <v>95</v>
      </c>
      <c r="C8" s="12">
        <v>0.1</v>
      </c>
      <c r="D8" s="9" t="s">
        <v>92</v>
      </c>
      <c r="E8" s="11">
        <v>3384</v>
      </c>
      <c r="F8" s="12">
        <f>C8*E8</f>
        <v>0</v>
      </c>
      <c r="G8" s="9" t="s">
        <v>93</v>
      </c>
      <c r="H8" s="9" t="s">
        <v>96</v>
      </c>
    </row>
    <row r="9" spans="2:8" ht="18" customHeight="1">
      <c r="B9" s="9" t="s">
        <v>97</v>
      </c>
      <c r="C9" s="13">
        <v>400</v>
      </c>
      <c r="D9" s="9" t="s">
        <v>98</v>
      </c>
      <c r="E9" s="11">
        <v>1</v>
      </c>
      <c r="F9" s="12">
        <f>C9*E9</f>
        <v>0</v>
      </c>
      <c r="G9" s="9" t="s">
        <v>93</v>
      </c>
      <c r="H9" s="9" t="s">
        <v>99</v>
      </c>
    </row>
    <row r="10" spans="2:8" ht="18" customHeight="1">
      <c r="B10" s="9" t="s">
        <v>68</v>
      </c>
      <c r="C10" s="13">
        <v>250</v>
      </c>
      <c r="D10" s="9" t="s">
        <v>100</v>
      </c>
      <c r="E10" s="11">
        <v>5</v>
      </c>
      <c r="F10" s="12">
        <f>C10*E10</f>
        <v>0</v>
      </c>
      <c r="G10" s="9" t="s">
        <v>101</v>
      </c>
      <c r="H10" s="9" t="s">
        <v>102</v>
      </c>
    </row>
    <row r="11" spans="2:8" ht="18" customHeight="1">
      <c r="B11" s="9" t="s">
        <v>103</v>
      </c>
      <c r="C11" s="13">
        <v>250</v>
      </c>
      <c r="D11" s="9" t="s">
        <v>98</v>
      </c>
      <c r="E11" s="11">
        <v>1</v>
      </c>
      <c r="F11" s="12">
        <f>C11*E11</f>
        <v>0</v>
      </c>
      <c r="G11" s="9" t="s">
        <v>93</v>
      </c>
      <c r="H11" s="9" t="s">
        <v>104</v>
      </c>
    </row>
    <row r="12" spans="2:8" ht="18" customHeight="1">
      <c r="B12" s="9" t="s">
        <v>105</v>
      </c>
      <c r="C12" s="13">
        <v>250</v>
      </c>
      <c r="D12" s="9" t="s">
        <v>106</v>
      </c>
      <c r="E12" s="9"/>
      <c r="F12" s="9"/>
      <c r="G12" s="9" t="s">
        <v>107</v>
      </c>
      <c r="H12" s="9" t="s">
        <v>108</v>
      </c>
    </row>
    <row r="14" spans="2:8" ht="18" customHeight="1">
      <c r="B14" s="5" t="s">
        <v>23</v>
      </c>
      <c r="C14" s="6" t="s">
        <v>109</v>
      </c>
    </row>
    <row r="15" spans="2:8" ht="18" customHeight="1">
      <c r="B15" s="5" t="s">
        <v>25</v>
      </c>
      <c r="C15" s="6" t="s">
        <v>110</v>
      </c>
    </row>
    <row r="17" spans="2:2" ht="18" customHeight="1">
      <c r="B17" s="3" t="s">
        <v>111</v>
      </c>
    </row>
  </sheetData>
  <pageMargins left="0.5" right="0.5" top="0.5" bottom="0.5" header="0.3" footer="0.3"/>
  <pageSetup paperSize="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1:E26"/>
  <sheetViews>
    <sheetView showGridLines="0" workbookViewId="0"/>
  </sheetViews>
  <sheetFormatPr defaultRowHeight="18" customHeight="1"/>
  <cols>
    <col min="1" max="1" width="3.7109375" customWidth="1"/>
    <col min="2" max="2" width="22.7109375" customWidth="1"/>
    <col min="3" max="3" width="32.7109375" customWidth="1"/>
    <col min="4" max="4" width="18.7109375" customWidth="1"/>
    <col min="5" max="5" width="48.7109375" customWidth="1"/>
  </cols>
  <sheetData>
    <row r="1" spans="2:5" ht="18" customHeight="1">
      <c r="B1" s="1" t="s">
        <v>112</v>
      </c>
    </row>
    <row r="2" spans="2:5" ht="18" customHeight="1">
      <c r="B2" s="3" t="s">
        <v>113</v>
      </c>
    </row>
    <row r="4" spans="2:5" ht="18" customHeight="1">
      <c r="B4" s="7" t="s">
        <v>114</v>
      </c>
      <c r="C4" s="7" t="s">
        <v>115</v>
      </c>
      <c r="D4" s="7" t="s">
        <v>46</v>
      </c>
      <c r="E4" s="7" t="s">
        <v>45</v>
      </c>
    </row>
    <row r="5" spans="2:5" ht="18" customHeight="1">
      <c r="B5" s="8" t="s">
        <v>51</v>
      </c>
      <c r="C5" s="9" t="s">
        <v>116</v>
      </c>
      <c r="D5" s="9" t="s">
        <v>117</v>
      </c>
      <c r="E5" s="9" t="s">
        <v>118</v>
      </c>
    </row>
    <row r="6" spans="2:5" ht="18" customHeight="1">
      <c r="B6" s="8" t="s">
        <v>119</v>
      </c>
      <c r="C6" s="10" t="s">
        <v>120</v>
      </c>
      <c r="D6" s="10" t="s">
        <v>117</v>
      </c>
      <c r="E6" s="10" t="s">
        <v>121</v>
      </c>
    </row>
    <row r="7" spans="2:5" ht="18" customHeight="1">
      <c r="B7" s="8" t="s">
        <v>122</v>
      </c>
      <c r="C7" s="9" t="s">
        <v>123</v>
      </c>
      <c r="D7" s="9" t="s">
        <v>117</v>
      </c>
      <c r="E7" s="9" t="s">
        <v>121</v>
      </c>
    </row>
    <row r="8" spans="2:5" ht="18" customHeight="1">
      <c r="B8" s="8" t="s">
        <v>124</v>
      </c>
      <c r="C8" s="10" t="s">
        <v>125</v>
      </c>
      <c r="D8" s="10" t="s">
        <v>117</v>
      </c>
      <c r="E8" s="10" t="s">
        <v>121</v>
      </c>
    </row>
    <row r="9" spans="2:5" ht="18" customHeight="1">
      <c r="B9" s="8" t="s">
        <v>126</v>
      </c>
      <c r="C9" s="9" t="s">
        <v>127</v>
      </c>
      <c r="D9" s="9" t="s">
        <v>128</v>
      </c>
      <c r="E9" s="9" t="s">
        <v>129</v>
      </c>
    </row>
    <row r="10" spans="2:5" ht="18" customHeight="1">
      <c r="B10" s="8" t="s">
        <v>130</v>
      </c>
      <c r="C10" s="10" t="s">
        <v>127</v>
      </c>
      <c r="D10" s="10" t="s">
        <v>128</v>
      </c>
      <c r="E10" s="10" t="s">
        <v>131</v>
      </c>
    </row>
    <row r="11" spans="2:5" ht="18" customHeight="1">
      <c r="B11" s="8" t="s">
        <v>132</v>
      </c>
      <c r="C11" s="9" t="s">
        <v>133</v>
      </c>
      <c r="D11" s="9" t="s">
        <v>117</v>
      </c>
      <c r="E11" s="9" t="s">
        <v>121</v>
      </c>
    </row>
    <row r="12" spans="2:5" ht="18" customHeight="1">
      <c r="B12" s="8" t="s">
        <v>134</v>
      </c>
      <c r="C12" s="10" t="s">
        <v>135</v>
      </c>
      <c r="D12" s="10" t="s">
        <v>117</v>
      </c>
      <c r="E12" s="10" t="s">
        <v>121</v>
      </c>
    </row>
    <row r="13" spans="2:5" ht="18" customHeight="1">
      <c r="B13" s="8" t="s">
        <v>136</v>
      </c>
      <c r="C13" s="9" t="s">
        <v>137</v>
      </c>
      <c r="D13" s="9" t="s">
        <v>128</v>
      </c>
      <c r="E13" s="9" t="s">
        <v>129</v>
      </c>
    </row>
    <row r="14" spans="2:5" ht="18" customHeight="1">
      <c r="B14" s="8" t="s">
        <v>138</v>
      </c>
      <c r="C14" s="10" t="s">
        <v>139</v>
      </c>
      <c r="D14" s="10" t="s">
        <v>117</v>
      </c>
      <c r="E14" s="10" t="s">
        <v>121</v>
      </c>
    </row>
    <row r="15" spans="2:5" ht="18" customHeight="1">
      <c r="B15" s="8" t="s">
        <v>140</v>
      </c>
      <c r="C15" s="9" t="s">
        <v>141</v>
      </c>
      <c r="D15" s="9" t="s">
        <v>117</v>
      </c>
      <c r="E15" s="9" t="s">
        <v>121</v>
      </c>
    </row>
    <row r="16" spans="2:5" ht="18" customHeight="1">
      <c r="B16" s="8" t="s">
        <v>142</v>
      </c>
      <c r="C16" s="10" t="s">
        <v>143</v>
      </c>
      <c r="D16" s="10" t="s">
        <v>144</v>
      </c>
      <c r="E16" s="10" t="s">
        <v>145</v>
      </c>
    </row>
    <row r="17" spans="2:5" ht="18" customHeight="1">
      <c r="B17" s="8" t="s">
        <v>146</v>
      </c>
      <c r="C17" s="9" t="s">
        <v>147</v>
      </c>
      <c r="D17" s="9" t="s">
        <v>144</v>
      </c>
      <c r="E17" s="9" t="s">
        <v>145</v>
      </c>
    </row>
    <row r="18" spans="2:5" ht="18" customHeight="1">
      <c r="B18" s="8" t="s">
        <v>148</v>
      </c>
      <c r="C18" s="10" t="s">
        <v>149</v>
      </c>
      <c r="D18" s="10" t="s">
        <v>144</v>
      </c>
      <c r="E18" s="10" t="s">
        <v>145</v>
      </c>
    </row>
    <row r="19" spans="2:5" ht="18" customHeight="1">
      <c r="B19" s="8" t="s">
        <v>150</v>
      </c>
      <c r="C19" s="9" t="s">
        <v>151</v>
      </c>
      <c r="D19" s="9" t="s">
        <v>144</v>
      </c>
      <c r="E19" s="9" t="s">
        <v>152</v>
      </c>
    </row>
    <row r="20" spans="2:5" ht="18" customHeight="1">
      <c r="B20" s="8" t="s">
        <v>153</v>
      </c>
      <c r="C20" s="10" t="s">
        <v>75</v>
      </c>
      <c r="D20" s="10" t="s">
        <v>128</v>
      </c>
      <c r="E20" s="10" t="s">
        <v>154</v>
      </c>
    </row>
    <row r="21" spans="2:5" ht="18" customHeight="1">
      <c r="B21" s="8" t="s">
        <v>155</v>
      </c>
      <c r="C21" s="9" t="s">
        <v>156</v>
      </c>
      <c r="D21" s="9" t="s">
        <v>117</v>
      </c>
      <c r="E21" s="9" t="s">
        <v>121</v>
      </c>
    </row>
    <row r="22" spans="2:5" ht="18" customHeight="1">
      <c r="B22" s="8" t="s">
        <v>157</v>
      </c>
      <c r="C22" s="10" t="s">
        <v>158</v>
      </c>
      <c r="D22" s="10" t="s">
        <v>117</v>
      </c>
      <c r="E22" s="10" t="s">
        <v>159</v>
      </c>
    </row>
    <row r="23" spans="2:5" ht="18" customHeight="1">
      <c r="B23" s="8" t="s">
        <v>160</v>
      </c>
      <c r="C23" s="9" t="s">
        <v>161</v>
      </c>
      <c r="D23" s="9" t="s">
        <v>117</v>
      </c>
      <c r="E23" s="9" t="s">
        <v>121</v>
      </c>
    </row>
    <row r="24" spans="2:5" ht="18" customHeight="1">
      <c r="B24" s="8" t="s">
        <v>162</v>
      </c>
      <c r="C24" s="10" t="s">
        <v>163</v>
      </c>
      <c r="D24" s="10" t="s">
        <v>144</v>
      </c>
      <c r="E24" s="10" t="s">
        <v>164</v>
      </c>
    </row>
    <row r="26" spans="2:5" ht="18" customHeight="1">
      <c r="B26" s="3" t="s">
        <v>165</v>
      </c>
    </row>
  </sheetData>
  <pageMargins left="0.5" right="0.5" top="0.5" bottom="0.5" header="0.3" footer="0.3"/>
  <pageSetup paperSize="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2:C15"/>
  <sheetViews>
    <sheetView showGridLines="0" workbookViewId="0"/>
  </sheetViews>
  <sheetFormatPr defaultRowHeight="18" customHeight="1"/>
  <cols>
    <col min="1" max="1" width="3.7109375" customWidth="1"/>
    <col min="2" max="2" width="28.7109375" customWidth="1"/>
    <col min="3" max="3" width="88.7109375" customWidth="1"/>
  </cols>
  <sheetData>
    <row r="2" spans="2:3" ht="18" customHeight="1">
      <c r="B2" s="1" t="s">
        <v>166</v>
      </c>
    </row>
    <row r="3" spans="2:3" ht="18" customHeight="1">
      <c r="B3" s="3" t="s">
        <v>167</v>
      </c>
    </row>
    <row r="5" spans="2:3" ht="18" customHeight="1">
      <c r="B5" s="4" t="s">
        <v>168</v>
      </c>
      <c r="C5" s="4"/>
    </row>
    <row r="6" spans="2:3" ht="18" customHeight="1">
      <c r="B6" s="5" t="s">
        <v>169</v>
      </c>
      <c r="C6" s="6" t="s">
        <v>170</v>
      </c>
    </row>
    <row r="7" spans="2:3" ht="28" customHeight="1">
      <c r="B7" s="5" t="s">
        <v>171</v>
      </c>
      <c r="C7" s="6" t="s">
        <v>172</v>
      </c>
    </row>
    <row r="8" spans="2:3" ht="28" customHeight="1">
      <c r="B8" s="5" t="s">
        <v>173</v>
      </c>
      <c r="C8" s="6" t="s">
        <v>174</v>
      </c>
    </row>
    <row r="9" spans="2:3" ht="28" customHeight="1">
      <c r="B9" s="5" t="s">
        <v>175</v>
      </c>
      <c r="C9" s="6" t="s">
        <v>176</v>
      </c>
    </row>
    <row r="10" spans="2:3" ht="28" customHeight="1">
      <c r="B10" s="5" t="s">
        <v>65</v>
      </c>
      <c r="C10" s="6" t="s">
        <v>177</v>
      </c>
    </row>
    <row r="11" spans="2:3" ht="28" customHeight="1">
      <c r="B11" s="5" t="s">
        <v>178</v>
      </c>
      <c r="C11" s="6" t="s">
        <v>179</v>
      </c>
    </row>
    <row r="12" spans="2:3" ht="28" customHeight="1">
      <c r="B12" s="5" t="s">
        <v>180</v>
      </c>
      <c r="C12" s="6" t="s">
        <v>181</v>
      </c>
    </row>
    <row r="13" spans="2:3" ht="28" customHeight="1"/>
    <row r="14" spans="2:3" ht="18" customHeight="1">
      <c r="B14" s="4" t="s">
        <v>182</v>
      </c>
      <c r="C14" s="4"/>
    </row>
    <row r="15" spans="2:3" ht="18" customHeight="1">
      <c r="B15" s="5" t="s">
        <v>183</v>
      </c>
      <c r="C15" s="6" t="s">
        <v>184</v>
      </c>
    </row>
  </sheetData>
  <mergeCells count="2">
    <mergeCell ref="B5:C5"/>
    <mergeCell ref="B14:C14"/>
  </mergeCells>
  <pageMargins left="0.5" right="0.5" top="0.5" bottom="0.5" header="0.3" footer="0.3"/>
  <pageSetup paperSize="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COVER</vt:lpstr>
      <vt:lpstr>RATES</vt:lpstr>
      <vt:lpstr>MALL FEES</vt:lpstr>
      <vt:lpstr>PROPOSED ROSTER</vt:lpstr>
      <vt:lpstr>PAYMENT ASK</vt:lpstr>
      <vt:lpstr>COVER!Print_Area</vt:lpstr>
      <vt:lpstr>'MALL FEES'!Print_Area</vt:lpstr>
      <vt:lpstr>'PAYMENT ASK'!Print_Area</vt:lpstr>
      <vt:lpstr>'PROPOSED ROSTER'!Print_Area</vt:lpstr>
      <vt:lpstr>RATES!Print_Area</vt:lpstr>
    </vt:vector>
  </TitlesOfParts>
  <Company>LUX Brand Company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Ralph Lauren Boca Raton — Cost-plus CM CLIENT exhibit</dc:title>
  <dc:subject>Town Center at Boca Raton, Simon space 1062</dc:subject>
  <dc:creator>LUX Brand Company</dc:creator>
  <dc:description>Mac-native CLIENT exhibit. Relative workbook relationships. 4 Sep 2026.</dc:description>
  <cp:lastModifiedBy>LUX Brand Company</cp:lastModifiedBy>
  <dcterms:created xsi:type="dcterms:W3CDTF">2026-09-04T12:00:00Z</dcterms:created>
  <dcterms:modified xsi:type="dcterms:W3CDTF">2026-09-04T12:00:00Z</dcterms:modified>
</cp:coreProperties>
</file>