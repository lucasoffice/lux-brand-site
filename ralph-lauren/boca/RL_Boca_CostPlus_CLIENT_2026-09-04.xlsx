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500" tabRatio="500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ANDIS FORM" sheetId="2" state="visible" r:id="rId2"/>
    <sheet xmlns:r="http://schemas.openxmlformats.org/officeDocument/2006/relationships" name="GC BID FORM" sheetId="3" state="visible" r:id="rId3"/>
    <sheet xmlns:r="http://schemas.openxmlformats.org/officeDocument/2006/relationships" name="MALL FEES" sheetId="4" state="visible" r:id="rId4"/>
    <sheet xmlns:r="http://schemas.openxmlformats.org/officeDocument/2006/relationships" name="PROPOSED ROSTER" sheetId="5" state="visible" r:id="rId5"/>
  </sheets>
  <definedNames>
    <definedName name="_xlnm.Print_Area" localSheetId="0">'COVER'!$A$1:$E$27</definedName>
    <definedName name="_xlnm._FilterDatabase" localSheetId="1" hidden="1">'LANDIS FORM'!$B$19:$D$39</definedName>
    <definedName name="_xlnm.Print_Area" localSheetId="1">'LANDIS FORM'!$A$1:$G$48</definedName>
    <definedName name="_xlnm.Print_Area" localSheetId="2">'GC BID FORM'!$A$8:$K$79</definedName>
    <definedName name="_xlnm.Print_Area" localSheetId="3">'MALL FEES'!$A$1:$H$18</definedName>
    <definedName name="_xlnm._FilterDatabase" localSheetId="4" hidden="1">'PROPOSED ROSTER'!$B$4:$E$24</definedName>
    <definedName name="_xlnm.Print_Area" localSheetId="4">'PROPOSED ROSTER'!$A$1:$E$26</definedName>
  </definedNames>
  <calcPr calcId="191029" calcMode="auto" fullCalcOnLoad="1" iterateDelta="0.0001"/>
</workbook>
</file>

<file path=xl/styles.xml><?xml version="1.0" encoding="utf-8"?>
<styleSheet xmlns="http://schemas.openxmlformats.org/spreadsheetml/2006/main">
  <numFmts count="4">
    <numFmt numFmtId="164" formatCode="\$#,##0;&quot;($&quot;#,##0\);\-"/>
    <numFmt numFmtId="165" formatCode="0.0%;\(0.0%\);\-"/>
    <numFmt numFmtId="166" formatCode="0.0"/>
    <numFmt numFmtId="167" formatCode="&quot;$&quot;#,##0.00"/>
  </numFmts>
  <fonts count="28">
    <font>
      <name val="Calibri"/>
      <charset val="1"/>
      <family val="2"/>
      <color theme="1"/>
      <sz val="11"/>
    </font>
    <font>
      <name val="Calibri"/>
      <family val="2"/>
      <b val="1"/>
      <color rgb="FF1F4E78"/>
      <sz val="14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2"/>
    </font>
    <font>
      <name val="Calibri"/>
      <family val="2"/>
      <b val="1"/>
      <color rgb="FF1F4E78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0"/>
    </font>
    <font>
      <name val="Calibri"/>
      <family val="2"/>
      <b val="1"/>
      <color rgb="FF1F4E78"/>
      <sz val="16"/>
    </font>
    <font>
      <name val="Calibri"/>
      <family val="2"/>
      <b val="1"/>
      <color rgb="FF1F4E78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8"/>
      <sz val="10"/>
    </font>
    <font>
      <name val="Calibri"/>
      <family val="2"/>
      <b val="1"/>
      <color rgb="FFFFFFFF"/>
      <sz val="14"/>
    </font>
    <font>
      <name val="Calibri"/>
      <family val="2"/>
      <i val="1"/>
      <color rgb="FF595959"/>
      <sz val="9"/>
    </font>
    <font>
      <name val="Calibri"/>
      <family val="2"/>
      <b val="1"/>
      <color rgb="FF9C5700"/>
      <sz val="10"/>
    </font>
    <font>
      <name val="Calibri"/>
      <family val="2"/>
      <b val="1"/>
      <color rgb="FF1F4E78"/>
      <sz val="18"/>
    </font>
    <font>
      <name val="Calibri"/>
      <color rgb="FF006100"/>
      <sz val="10"/>
    </font>
    <font>
      <name val="Calibri"/>
      <i val="1"/>
      <color rgb="FF9C5700"/>
      <sz val="10"/>
    </font>
    <font>
      <name val="Calibri"/>
      <color rgb="FF595959"/>
      <sz val="10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006100"/>
      <sz val="11"/>
    </font>
    <font>
      <name val="Calibri"/>
      <b val="1"/>
      <color rgb="FF9C5700"/>
      <sz val="11"/>
    </font>
    <font>
      <name val="Calibri"/>
      <b val="1"/>
      <color rgb="FF1F4E78"/>
      <sz val="16"/>
    </font>
    <font>
      <name val="Calibri"/>
      <b val="1"/>
      <color rgb="FFFFFFFF"/>
      <sz val="11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</patternFill>
    </fill>
    <fill>
      <patternFill patternType="solid">
        <fgColor rgb="FFFFE599"/>
      </patternFill>
    </fill>
    <fill>
      <patternFill patternType="solid">
        <fgColor rgb="FF1F4E78"/>
      </patternFill>
    </fill>
    <fill>
      <patternFill patternType="solid">
        <fgColor rgb="FFD6E3F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00C6EFCE"/>
      </patternFill>
    </fill>
    <fill>
      <patternFill patternType="solid">
        <fgColor rgb="00FFF9C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2" fillId="0" borderId="0" pivotButton="0" quotePrefix="0" xfId="0"/>
    <xf numFmtId="0" fontId="8" fillId="4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4" fontId="6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164" fontId="8" fillId="4" borderId="1" pivotButton="0" quotePrefix="0" xfId="0"/>
    <xf numFmtId="165" fontId="6" fillId="0" borderId="1" pivotButton="0" quotePrefix="0" xfId="0"/>
    <xf numFmtId="0" fontId="6" fillId="0" borderId="1" applyAlignment="1" pivotButton="0" quotePrefix="0" xfId="0">
      <alignment horizontal="center"/>
    </xf>
    <xf numFmtId="164" fontId="3" fillId="5" borderId="1" pivotButton="0" quotePrefix="0" xfId="0"/>
    <xf numFmtId="164" fontId="4" fillId="5" borderId="1" pivotButton="0" quotePrefix="0" xfId="0"/>
    <xf numFmtId="0" fontId="6" fillId="5" borderId="1" pivotButton="0" quotePrefix="0" xfId="0"/>
    <xf numFmtId="164" fontId="6" fillId="5" borderId="1" pivotButton="0" quotePrefix="0" xfId="0"/>
    <xf numFmtId="0" fontId="9" fillId="0" borderId="0" applyAlignment="1" pivotButton="0" quotePrefix="0" xfId="0">
      <alignment vertical="center" wrapText="1"/>
    </xf>
    <xf numFmtId="166" fontId="12" fillId="6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6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10" fontId="12" fillId="6" borderId="2" applyAlignment="1" pivotButton="0" quotePrefix="0" xfId="0">
      <alignment horizontal="center" vertical="center" wrapText="1"/>
    </xf>
    <xf numFmtId="10" fontId="0" fillId="5" borderId="2" pivotButton="0" quotePrefix="0" xfId="0"/>
    <xf numFmtId="0" fontId="9" fillId="0" borderId="0" pivotButton="0" quotePrefix="0" xfId="0"/>
    <xf numFmtId="0" fontId="14" fillId="8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pivotButton="0" quotePrefix="0" xfId="0"/>
    <xf numFmtId="0" fontId="0" fillId="0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center" vertical="center" wrapText="1"/>
    </xf>
    <xf numFmtId="0" fontId="12" fillId="9" borderId="2" pivotButton="0" quotePrefix="0" xfId="0"/>
    <xf numFmtId="0" fontId="0" fillId="9" borderId="2" applyAlignment="1" pivotButton="0" quotePrefix="0" xfId="0">
      <alignment horizontal="right" vertical="center"/>
    </xf>
    <xf numFmtId="0" fontId="11" fillId="0" borderId="0" pivotButton="0" quotePrefix="0" xfId="0"/>
    <xf numFmtId="0" fontId="12" fillId="5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 wrapText="1"/>
    </xf>
    <xf numFmtId="165" fontId="12" fillId="6" borderId="2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center" vertical="center" wrapText="1"/>
    </xf>
    <xf numFmtId="0" fontId="14" fillId="8" borderId="2" pivotButton="0" quotePrefix="0" xfId="0"/>
    <xf numFmtId="0" fontId="12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 wrapText="1"/>
    </xf>
    <xf numFmtId="3" fontId="12" fillId="8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right" vertical="center"/>
    </xf>
    <xf numFmtId="3" fontId="12" fillId="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1" fontId="12" fillId="0" borderId="2" applyAlignment="1" pivotButton="0" quotePrefix="0" xfId="0">
      <alignment horizontal="center" vertical="center" wrapText="1"/>
    </xf>
    <xf numFmtId="1" fontId="12" fillId="6" borderId="2" applyAlignment="1" pivotButton="0" quotePrefix="0" xfId="0">
      <alignment horizontal="center" vertical="center" wrapText="1"/>
    </xf>
    <xf numFmtId="0" fontId="11" fillId="0" borderId="2" pivotButton="0" quotePrefix="0" xfId="0"/>
    <xf numFmtId="0" fontId="12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9" fillId="0" borderId="0" applyAlignment="1" pivotButton="0" quotePrefix="0" xfId="0">
      <alignment vertical="center" wrapText="1"/>
    </xf>
    <xf numFmtId="0" fontId="0" fillId="0" borderId="0" pivotButton="0" quotePrefix="0" xfId="0"/>
    <xf numFmtId="0" fontId="12" fillId="0" borderId="2" applyAlignment="1" pivotButton="0" quotePrefix="0" xfId="0">
      <alignment horizontal="left" vertical="top" wrapText="1"/>
    </xf>
    <xf numFmtId="0" fontId="13" fillId="7" borderId="0" applyAlignment="1" pivotButton="0" quotePrefix="0" xfId="0">
      <alignment horizontal="left" vertical="center" wrapText="1"/>
    </xf>
    <xf numFmtId="0" fontId="13" fillId="7" borderId="0" pivotButton="0" quotePrefix="0" xfId="0"/>
    <xf numFmtId="0" fontId="10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8" fillId="4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15" fillId="7" borderId="0" applyAlignment="1" pivotButton="0" quotePrefix="0" xfId="0">
      <alignment horizontal="left" vertical="center" wrapText="1"/>
    </xf>
    <xf numFmtId="0" fontId="15" fillId="7" borderId="0" pivotButton="0" quotePrefix="0" xfId="0"/>
    <xf numFmtId="0" fontId="12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9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7" fontId="12" fillId="11" borderId="2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164" fontId="12" fillId="6" borderId="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10" fontId="22" fillId="6" borderId="7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164" fontId="12" fillId="5" borderId="2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 wrapText="1"/>
    </xf>
    <xf numFmtId="164" fontId="23" fillId="5" borderId="7" applyAlignment="1" pivotButton="0" quotePrefix="0" xfId="0">
      <alignment horizontal="right" vertical="center"/>
    </xf>
    <xf numFmtId="164" fontId="13" fillId="7" borderId="2" applyAlignment="1" pivotButton="0" quotePrefix="0" xfId="0">
      <alignment horizontal="right" vertical="center"/>
    </xf>
    <xf numFmtId="0" fontId="23" fillId="5" borderId="7" applyAlignment="1" pivotButton="0" quotePrefix="0" xfId="0">
      <alignment horizontal="center" vertical="center" wrapText="1"/>
    </xf>
    <xf numFmtId="0" fontId="22" fillId="5" borderId="7" applyAlignment="1" pivotButton="0" quotePrefix="0" xfId="0">
      <alignment horizontal="left" vertical="center" wrapText="1"/>
    </xf>
    <xf numFmtId="0" fontId="23" fillId="5" borderId="7" applyAlignment="1" pivotButton="0" quotePrefix="0" xfId="0">
      <alignment horizontal="left" vertical="center" wrapText="1"/>
    </xf>
    <xf numFmtId="0" fontId="24" fillId="5" borderId="7" applyAlignment="1" pivotButton="0" quotePrefix="0" xfId="0">
      <alignment horizontal="center" vertical="center" wrapText="1"/>
    </xf>
    <xf numFmtId="0" fontId="23" fillId="6" borderId="7" applyAlignment="1" pivotButton="0" quotePrefix="0" xfId="0">
      <alignment horizontal="center" vertical="center" wrapText="1"/>
    </xf>
    <xf numFmtId="0" fontId="22" fillId="6" borderId="7" applyAlignment="1" pivotButton="0" quotePrefix="0" xfId="0">
      <alignment horizontal="left" vertical="center" wrapText="1"/>
    </xf>
    <xf numFmtId="0" fontId="23" fillId="6" borderId="7" applyAlignment="1" pivotButton="0" quotePrefix="0" xfId="0">
      <alignment horizontal="left" vertical="center" wrapText="1"/>
    </xf>
    <xf numFmtId="0" fontId="25" fillId="6" borderId="7" applyAlignment="1" pivotButton="0" quotePrefix="0" xfId="0">
      <alignment horizontal="center" vertical="center" wrapText="1"/>
    </xf>
    <xf numFmtId="167" fontId="12" fillId="5" borderId="2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 wrapText="1"/>
    </xf>
    <xf numFmtId="0" fontId="27" fillId="7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top" wrapText="1"/>
    </xf>
    <xf numFmtId="9" fontId="22" fillId="12" borderId="7" applyAlignment="1" pivotButton="0" quotePrefix="0" xfId="0">
      <alignment horizontal="center" vertical="center" wrapText="1"/>
    </xf>
    <xf numFmtId="9" fontId="12" fillId="1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E27"/>
  <sheetViews>
    <sheetView showGridLines="0" topLeftCell="A14" zoomScale="120" workbookViewId="0">
      <selection activeCell="A4" sqref="A4:XFD4"/>
    </sheetView>
  </sheetViews>
  <sheetFormatPr baseColWidth="10" defaultColWidth="8.83203125" defaultRowHeight="15"/>
  <cols>
    <col width="3" customWidth="1" style="73" min="1" max="1"/>
    <col width="28" customWidth="1" style="73" min="2" max="2"/>
    <col width="78" customWidth="1" style="73" min="3" max="3"/>
    <col width="22" customWidth="1" style="73" min="4" max="4"/>
    <col width="18" customWidth="1" style="73" min="5" max="5"/>
  </cols>
  <sheetData>
    <row r="1"/>
    <row r="2" ht="26" customHeight="1" s="73">
      <c r="B2" s="78" t="inlineStr">
        <is>
          <t>Charrette MG</t>
        </is>
      </c>
    </row>
    <row r="3" ht="22" customHeight="1" s="73">
      <c r="B3" s="77" t="inlineStr">
        <is>
          <t>Ralph Lauren  —  Town Center at Boca Raton</t>
        </is>
      </c>
    </row>
    <row r="4" ht="36" customHeight="1" s="73">
      <c r="B4" s="72" t="inlineStr">
        <is>
          <t>Preliminary open-book CM exhibit for Charrette review. Commercial terms as of 4 Sep 2026. Cost-plus CM + GC, open book. Yellow cells are commercial inputs. Confirmed: 21 weeks, 10% CM fee on sub/trade costs only (GC fees not marked up), 10% CO markup (one-or-the-other with CM — not stacked), 1.5% insurance, $4,400/wk superintendent, Shawn PM $3,500/wk + 4 trips, parking 5 mo × $250, pre-construction 1% first pay app / NTP. LBC opening payment ask: net 30 on monthly % complete (settlement band net 45; RL policy often net 90). Trade packages remain $0 until bids. Form rollups are GC/fee math only — not a bid total.</t>
        </is>
      </c>
    </row>
    <row r="5"/>
    <row r="6" ht="20" customHeight="1" s="73">
      <c r="B6" s="75" t="inlineStr">
        <is>
          <t>JOB IDENTITY</t>
        </is>
      </c>
    </row>
    <row r="7" ht="20" customHeight="1" s="73">
      <c r="B7" s="45" t="inlineStr">
        <is>
          <t>Client</t>
        </is>
      </c>
      <c r="C7" s="70" t="inlineStr">
        <is>
          <t>Ralph Lauren</t>
        </is>
      </c>
      <c r="D7" s="94" t="n"/>
      <c r="E7" s="95" t="n"/>
    </row>
    <row r="8" ht="20" customHeight="1" s="73">
      <c r="B8" s="45" t="inlineStr">
        <is>
          <t>Location</t>
        </is>
      </c>
      <c r="C8" s="70" t="inlineStr">
        <is>
          <t>Town Center at Boca Raton, Simon space 1062, 600 Glades Road</t>
        </is>
      </c>
      <c r="D8" s="94" t="n"/>
      <c r="E8" s="95" t="n"/>
    </row>
    <row r="9" ht="20" customHeight="1" s="73">
      <c r="B9" s="45" t="inlineStr">
        <is>
          <t>Area</t>
        </is>
      </c>
      <c r="C9" s="70" t="inlineStr">
        <is>
          <t>3,800 sf</t>
        </is>
      </c>
      <c r="D9" s="94" t="n"/>
      <c r="E9" s="95" t="n"/>
    </row>
    <row r="10" ht="20" customHeight="1" s="73">
      <c r="B10" s="45" t="inlineStr">
        <is>
          <t>Owner's representative</t>
        </is>
      </c>
      <c r="C10" s="70" t="inlineStr">
        <is>
          <t>Charrette MG — Landis Kauffman, Claudia Mardones</t>
        </is>
      </c>
      <c r="D10" s="94" t="n"/>
      <c r="E10" s="95" t="n"/>
    </row>
    <row r="11" ht="20" customHeight="1" s="73">
      <c r="B11" s="45" t="inlineStr">
        <is>
          <t>Contract</t>
        </is>
      </c>
      <c r="C11" s="70" t="inlineStr">
        <is>
          <t>Cost-plus / CM + GC  (not lump sum)</t>
        </is>
      </c>
      <c r="D11" s="94" t="n"/>
      <c r="E11" s="95" t="n"/>
    </row>
    <row r="12" ht="20" customHeight="1" s="73">
      <c r="B12" s="45" t="inlineStr">
        <is>
          <t>Payment</t>
        </is>
      </c>
      <c r="C12" s="70" t="inlineStr">
        <is>
          <t>LBC ask net 30 (monthly % complete)  |  settlement band net 45  |  RL policy often net 90  |  Cost-plus CM open book</t>
        </is>
      </c>
      <c r="D12" s="94" t="n"/>
      <c r="E12" s="95" t="n"/>
    </row>
    <row r="13" ht="20" customHeight="1" s="73">
      <c r="B13" s="45" t="inlineStr">
        <is>
          <t>Calendar (intake)</t>
        </is>
      </c>
      <c r="C13" s="70" t="inlineStr">
        <is>
          <t>Commence 2027-04-02  |  Substantial 2027-08-18 (~19.5 weeks intake calendar)  |  Final 2027-08-25  |  Duration: 21 weeks (used on LANDIS FORM and superintendent weeks)</t>
        </is>
      </c>
      <c r="D13" s="94" t="n"/>
      <c r="E13" s="95" t="n"/>
    </row>
    <row r="14" ht="20" customHeight="1" s="73">
      <c r="B14" s="45" t="inlineStr">
        <is>
          <t>Architect</t>
        </is>
      </c>
      <c r="C14" s="70" t="inlineStr">
        <is>
          <t>TPG</t>
        </is>
      </c>
      <c r="D14" s="94" t="n"/>
      <c r="E14" s="95" t="n"/>
    </row>
    <row r="15" ht="20" customHeight="1" s="73">
      <c r="B15" s="45" t="inlineStr">
        <is>
          <t>RL NDA</t>
        </is>
      </c>
      <c r="C15" s="70" t="inlineStr">
        <is>
          <t>2026-07-14</t>
        </is>
      </c>
      <c r="D15" s="94" t="n"/>
      <c r="E15" s="95" t="n"/>
    </row>
    <row r="16" ht="20" customHeight="1" s="73">
      <c r="B16" s="45" t="inlineStr">
        <is>
          <t>RL contact on drawings</t>
        </is>
      </c>
      <c r="C16" s="70" t="inlineStr">
        <is>
          <t>dorit.alexander@ralphlauren.com</t>
        </is>
      </c>
      <c r="D16" s="94" t="n"/>
      <c r="E16" s="95" t="n"/>
    </row>
    <row r="17" ht="20" customHeight="1" s="73">
      <c r="B17" s="45" t="inlineStr">
        <is>
          <t>Permit fees</t>
        </is>
      </c>
      <c r="C17" s="70" t="inlineStr">
        <is>
          <t>Excluded / invoiced separately</t>
        </is>
      </c>
      <c r="D17" s="94" t="n"/>
      <c r="E17" s="95" t="n"/>
    </row>
    <row r="18" ht="20" customHeight="1" s="73">
      <c r="B18" s="45" t="inlineStr">
        <is>
          <t>Sales tax</t>
        </is>
      </c>
      <c r="C18" s="70" t="inlineStr">
        <is>
          <t>Invoiced separately</t>
        </is>
      </c>
      <c r="D18" s="94" t="n"/>
      <c r="E18" s="95" t="n"/>
    </row>
    <row r="19" ht="20" customHeight="1" s="73">
      <c r="B19" s="45" t="inlineStr">
        <is>
          <t>GC</t>
        </is>
      </c>
      <c r="C19" s="70" t="inlineStr">
        <is>
          <t>LUX Brand Company</t>
        </is>
      </c>
      <c r="D19" s="94" t="n"/>
      <c r="E19" s="95" t="n"/>
    </row>
    <row r="20"/>
    <row r="21">
      <c r="B21" s="76" t="inlineStr">
        <is>
          <t>NOTES</t>
        </is>
      </c>
    </row>
    <row r="22" ht="42" customHeight="1" s="73">
      <c r="B22" s="47" t="inlineStr">
        <is>
          <t>Open book</t>
        </is>
      </c>
      <c r="C22" s="74" t="inlineStr">
        <is>
          <t>This workbook is a preliminary open-book CM exhibit for Charrette review. Commercial terms as of 3 Sep 2026. It is not a lump-sum bid and not an awarded contract price. Pre-construction fee: 1% of project total, payable with the first application for payment / NTP.</t>
        </is>
      </c>
      <c r="D22" s="94" t="n"/>
      <c r="E22" s="95" t="n"/>
    </row>
    <row r="23" ht="42" customHeight="1" s="73">
      <c r="B23" s="47" t="inlineStr">
        <is>
          <t>Blank inputs</t>
        </is>
      </c>
      <c r="C23" s="74" t="inlineStr">
        <is>
          <t>Filled yellow = confirmed as of 3 Sep 2026 (21 weeks, CM 10%, insurance 1.5%, weekly superintendent $4,400, pre-construction 1% with first application for payment / NTP). Remaining yellow is OPEN — to be confirmed. On-site laborer and project-manager week counts remain open. $0 trade rows and GC/fee subtotals are not a bid grand total.</t>
        </is>
      </c>
      <c r="D23" s="94" t="n"/>
      <c r="E23" s="95" t="n"/>
    </row>
    <row r="24" ht="42" customHeight="1" s="73">
      <c r="B24" s="47" t="inlineStr">
        <is>
          <t>Calendar vs duration</t>
        </is>
      </c>
      <c r="C24" s="74" t="inlineStr">
        <is>
          <t>Intake calendar: commence 2027-04-02 through substantial 2027-08-18 (~19.5 weeks), final 2027-08-25. Duration used on LANDIS FORM and superintendent weeks is 21 weeks.</t>
        </is>
      </c>
      <c r="D24" s="94" t="n"/>
      <c r="E24" s="95" t="n"/>
    </row>
    <row r="25" ht="42" customHeight="1" s="73">
      <c r="B25" s="47" t="inlineStr">
        <is>
          <t>Permits / tax</t>
        </is>
      </c>
      <c r="C25" s="74" t="inlineStr">
        <is>
          <t>Permit fees are excluded and invoiced separately. Sales tax is invoiced separately.</t>
        </is>
      </c>
      <c r="D25" s="94" t="n"/>
      <c r="E25" s="95" t="n"/>
    </row>
    <row r="26" ht="42" customHeight="1" s="73">
      <c r="B26" s="47" t="inlineStr">
        <is>
          <t>Trades</t>
        </is>
      </c>
      <c r="C26" s="74" t="inlineStr">
        <is>
          <t>No trade-package dollars are entered. PROPOSED ROSTER is proposed, not awarded. Mall unit rates are listed on MALL FEES; parking months and sprinkler-shutdown count are OPEN — to be confirmed. Form rollups from weekly superintendent × 21 + % fees are GC/fee math only — not a job with bid trades.</t>
        </is>
      </c>
      <c r="D26" s="94" t="n"/>
      <c r="E26" s="95" t="n"/>
    </row>
    <row r="27" ht="42" customHeight="1" s="73">
      <c r="B27" s="47" t="inlineStr">
        <is>
          <t>Sheets</t>
        </is>
      </c>
      <c r="C27" s="74" t="inlineStr">
        <is>
          <t>COVER  |  GC BID FORM  |  LANDIS FORM  |  MALL FEES  |  PROPOSED ROSTER</t>
        </is>
      </c>
      <c r="D27" s="94" t="n"/>
      <c r="E27" s="95" t="n"/>
    </row>
  </sheetData>
  <mergeCells count="24">
    <mergeCell ref="C16:E16"/>
    <mergeCell ref="B6:E6"/>
    <mergeCell ref="C22:E22"/>
    <mergeCell ref="C9:E9"/>
    <mergeCell ref="C12:E12"/>
    <mergeCell ref="C11:E11"/>
    <mergeCell ref="C27:E27"/>
    <mergeCell ref="B4:E4"/>
    <mergeCell ref="C23:E23"/>
    <mergeCell ref="C8:E8"/>
    <mergeCell ref="C17:E17"/>
    <mergeCell ref="B3:E3"/>
    <mergeCell ref="C7:E7"/>
    <mergeCell ref="C13:E13"/>
    <mergeCell ref="C19:E19"/>
    <mergeCell ref="B21:E21"/>
    <mergeCell ref="C18:E18"/>
    <mergeCell ref="B2:E2"/>
    <mergeCell ref="C15:E15"/>
    <mergeCell ref="C24:E24"/>
    <mergeCell ref="C14:E14"/>
    <mergeCell ref="C26:E26"/>
    <mergeCell ref="C25:E25"/>
    <mergeCell ref="C10:E10"/>
  </mergeCells>
  <printOptions horizontalCentered="1"/>
  <pageMargins left="0.5" right="0.5" top="0.7" bottom="0.6" header="0.3" footer="0.3"/>
  <pageSetup orientation="portrait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E599"/>
    <outlinePr summaryBelow="1" summaryRight="1"/>
    <pageSetUpPr fitToPage="1"/>
  </sheetPr>
  <dimension ref="A1:G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5"/>
  <cols>
    <col width="4" customWidth="1" style="73" min="1" max="1"/>
    <col width="12" customWidth="1" style="73" min="2" max="2"/>
    <col width="58" customWidth="1" style="73" min="3" max="3"/>
    <col width="18" customWidth="1" style="73" min="4" max="4"/>
    <col width="16" customWidth="1" style="73" min="5" max="5"/>
    <col width="14" customWidth="1" style="73" min="6" max="6"/>
    <col width="62" customWidth="1" style="73" min="7" max="7"/>
  </cols>
  <sheetData>
    <row r="1" ht="24" customHeight="1" s="73">
      <c r="B1" s="87" t="inlineStr">
        <is>
          <t>Ralph Lauren Boca Raton Town Center 1062 — CM Fee Budget Breakdown</t>
        </is>
      </c>
    </row>
    <row r="2" ht="28" customHeight="1" s="73">
      <c r="B2" s="83" t="inlineStr">
        <is>
          <t>LUX Brand Company  |  Cost-plus CM + GC (open book, not lump sum)  |  Town Center at Boca Raton, Simon space 1062, 600 Glades Road  |  3,800 sf</t>
        </is>
      </c>
    </row>
    <row r="3" ht="28" customHeight="1" s="73">
      <c r="B3" s="83" t="inlineStr">
        <is>
          <t>Owner's representative: Charrette MG — Landis Kauffman, Claudia Mardones.  Payment: Ralph Lauren policy net 90.  Permit fees excluded / invoiced separately.  Sales tax invoiced separately.</t>
        </is>
      </c>
    </row>
    <row r="4">
      <c r="B4" s="86" t="inlineStr">
        <is>
          <t>Duration (weeks) — confirmed: 21</t>
        </is>
      </c>
    </row>
    <row r="5" ht="32" customHeight="1" s="73">
      <c r="B5" s="25" t="n">
        <v>21</v>
      </c>
      <c r="C5" s="26" t="inlineStr">
        <is>
          <t>Weeks (single duration input for this form)</t>
        </is>
      </c>
      <c r="G5" s="101" t="inlineStr">
        <is>
          <t>Confirmed: 21 weeks. Intake calendar ~19.5 weeks (2027-04-02 to 2027-08-18) is recorded on COVER; it is not the duration used here.</t>
        </is>
      </c>
    </row>
    <row r="6"/>
    <row r="7">
      <c r="B7" s="75" t="inlineStr">
        <is>
          <t>COMMERCIAL INPUTS (yellow). Filled yellow = confirmed as of 4 Sep 2026. Trade package amounts stay $0 until bids.</t>
        </is>
      </c>
    </row>
    <row r="8">
      <c r="C8" s="53" t="inlineStr">
        <is>
          <t>Item</t>
        </is>
      </c>
      <c r="E8" s="53" t="inlineStr">
        <is>
          <t>Input</t>
        </is>
      </c>
      <c r="G8" s="53" t="inlineStr">
        <is>
          <t>Status</t>
        </is>
      </c>
    </row>
    <row r="9" ht="48" customHeight="1" s="73">
      <c r="C9" s="26" t="inlineStr">
        <is>
          <t>Pre-construction fee % of project total (dollar on D43)</t>
        </is>
      </c>
      <c r="E9" s="29" t="n">
        <v>0.01</v>
      </c>
      <c r="G9" s="101" t="inlineStr">
        <is>
          <t>Confirmed: 1% of project total, payable with the first application for payment / NTP. Dollar = E9 × (trades + weekly GC + CM fee + insurance). Trade packages are $0 until bids, so the current dollar is 1% of GC/fee/insurance only and will update when packages are bid.</t>
        </is>
      </c>
    </row>
    <row r="10"/>
    <row r="11" ht="48" customHeight="1" s="73">
      <c r="C11" s="28" t="inlineStr">
        <is>
          <t>Weekly superintendent $ — multiplied by Weeks (B5) = General Conditions</t>
        </is>
      </c>
      <c r="E11" s="99" t="n">
        <v>4400</v>
      </c>
      <c r="G11" s="101" t="inlineStr">
        <is>
          <t>Confirmed: weekly superintendent $4,400. Used as the weekly GC &amp; supervision input on this form. Shawn Rasmusen PM is Set at $3,500/wk + 4 trips (see COVER / GC BID FORM) — not included in this weekly superintendent line.</t>
        </is>
      </c>
    </row>
    <row r="12" ht="22" customHeight="1" s="73">
      <c r="C12" s="26" t="inlineStr">
        <is>
          <t>CM Fee % of cost of work</t>
        </is>
      </c>
      <c r="E12" s="122" t="n">
        <v>0.1</v>
      </c>
      <c r="G12" s="101" t="inlineStr">
        <is>
          <t>Confirmed: 10% of sub/trade packages only (D20:D39). Does NOT apply to General Conditions (fees) or to insurance 1.5%. Dollar calculates when sub bid packages are in.</t>
        </is>
      </c>
    </row>
    <row r="13" ht="22" customHeight="1" s="73">
      <c r="C13" s="26" t="inlineStr">
        <is>
          <t>Insurance %</t>
        </is>
      </c>
      <c r="E13" s="29" t="n">
        <v>0.015</v>
      </c>
      <c r="G13" s="101" t="inlineStr">
        <is>
          <t>Confirmed: 1.5% on total revenue nut (trades + General Conditions) — carrier prices on total revenue. NOT marked up by CM 10%. Workers compensation billed in payroll burden on GC BID FORM; not duplicated here. Dollar updates when sub bid packages are in.</t>
        </is>
      </c>
    </row>
    <row r="14"/>
    <row r="15" ht="32" customHeight="1" s="73">
      <c r="C15" s="26" t="inlineStr">
        <is>
          <t>CO markup % (separate line-item — does NOT follow project CM fee)</t>
        </is>
      </c>
      <c r="E15" s="121" t="n">
        <v>0.1</v>
      </c>
      <c r="G15" s="103" t="inlineStr">
        <is>
          <t>Confirmed: 10% CO markup. Separate line-item — one-or-the-other with CM 10% (E12); NOT stacked on the same dollars. Does not follow project CM fee automatically.</t>
        </is>
      </c>
    </row>
    <row r="16">
      <c r="C16" s="26" t="inlineStr">
        <is>
          <t>CO Insurance % (follows project insurance 1.5%)</t>
        </is>
      </c>
      <c r="E16" s="30">
        <f>E13</f>
        <v/>
      </c>
      <c r="G16" s="100" t="inlineStr">
        <is>
          <t>Tracks E13 (confirmed 1.5%). This is insurance, not CO markup. CO markup % is E15 — confirmed 10% (one-or-the-other with CM).</t>
        </is>
      </c>
    </row>
    <row r="17"/>
    <row r="18">
      <c r="B18" s="76" t="inlineStr">
        <is>
          <t>TRADE PACKAGES — no bid packages received; amounts 0</t>
        </is>
      </c>
    </row>
    <row r="19">
      <c r="B19" s="32" t="inlineStr">
        <is>
          <t>#</t>
        </is>
      </c>
      <c r="C19" s="32" t="inlineStr">
        <is>
          <t>Description</t>
        </is>
      </c>
      <c r="D19" s="32" t="inlineStr">
        <is>
          <t>Amount</t>
        </is>
      </c>
    </row>
    <row r="20">
      <c r="B20" s="33" t="n">
        <v>1</v>
      </c>
      <c r="C20" s="34" t="inlineStr">
        <is>
          <t>Trade package 1 — bid not received</t>
        </is>
      </c>
      <c r="D20" s="35" t="n">
        <v>0</v>
      </c>
    </row>
    <row r="21">
      <c r="B21" s="36" t="n">
        <v>2</v>
      </c>
      <c r="C21" s="37" t="inlineStr">
        <is>
          <t>Trade package 2 — bid not received</t>
        </is>
      </c>
      <c r="D21" s="38" t="n">
        <v>0</v>
      </c>
    </row>
    <row r="22">
      <c r="B22" s="33" t="n">
        <v>3</v>
      </c>
      <c r="C22" s="34" t="inlineStr">
        <is>
          <t>Trade package 3 — bid not received</t>
        </is>
      </c>
      <c r="D22" s="35" t="n">
        <v>0</v>
      </c>
    </row>
    <row r="23">
      <c r="B23" s="36" t="n">
        <v>4</v>
      </c>
      <c r="C23" s="37" t="inlineStr">
        <is>
          <t>Trade package 4 — bid not received</t>
        </is>
      </c>
      <c r="D23" s="38" t="n">
        <v>0</v>
      </c>
    </row>
    <row r="24">
      <c r="B24" s="33" t="n">
        <v>5</v>
      </c>
      <c r="C24" s="34" t="inlineStr">
        <is>
          <t>Trade package 5 — bid not received</t>
        </is>
      </c>
      <c r="D24" s="35" t="n">
        <v>0</v>
      </c>
    </row>
    <row r="25">
      <c r="B25" s="36" t="n">
        <v>6</v>
      </c>
      <c r="C25" s="37" t="inlineStr">
        <is>
          <t>Trade package 6 — bid not received</t>
        </is>
      </c>
      <c r="D25" s="38" t="n">
        <v>0</v>
      </c>
    </row>
    <row r="26">
      <c r="B26" s="33" t="n">
        <v>7</v>
      </c>
      <c r="C26" s="34" t="inlineStr">
        <is>
          <t>Trade package 7 — bid not received</t>
        </is>
      </c>
      <c r="D26" s="35" t="n">
        <v>0</v>
      </c>
    </row>
    <row r="27">
      <c r="B27" s="36" t="n">
        <v>8</v>
      </c>
      <c r="C27" s="37" t="inlineStr">
        <is>
          <t>Trade package 8 — bid not received</t>
        </is>
      </c>
      <c r="D27" s="38" t="n">
        <v>0</v>
      </c>
    </row>
    <row r="28">
      <c r="B28" s="33" t="n">
        <v>9</v>
      </c>
      <c r="C28" s="34" t="inlineStr">
        <is>
          <t>Trade package 9 — bid not received</t>
        </is>
      </c>
      <c r="D28" s="35" t="n">
        <v>0</v>
      </c>
    </row>
    <row r="29">
      <c r="B29" s="36" t="n">
        <v>10</v>
      </c>
      <c r="C29" s="37" t="inlineStr">
        <is>
          <t>Trade package 10 — bid not received</t>
        </is>
      </c>
      <c r="D29" s="38" t="n">
        <v>0</v>
      </c>
    </row>
    <row r="30">
      <c r="B30" s="33" t="n">
        <v>11</v>
      </c>
      <c r="C30" s="34" t="inlineStr">
        <is>
          <t>Trade package 11 — bid not received</t>
        </is>
      </c>
      <c r="D30" s="35" t="n">
        <v>0</v>
      </c>
    </row>
    <row r="31">
      <c r="B31" s="36" t="n">
        <v>12</v>
      </c>
      <c r="C31" s="37" t="inlineStr">
        <is>
          <t>Trade package 12 — bid not received</t>
        </is>
      </c>
      <c r="D31" s="38" t="n">
        <v>0</v>
      </c>
    </row>
    <row r="32">
      <c r="B32" s="33" t="n">
        <v>13</v>
      </c>
      <c r="C32" s="34" t="inlineStr">
        <is>
          <t>Trade package 13 — bid not received</t>
        </is>
      </c>
      <c r="D32" s="35" t="n">
        <v>0</v>
      </c>
    </row>
    <row r="33">
      <c r="B33" s="36" t="n">
        <v>14</v>
      </c>
      <c r="C33" s="37" t="inlineStr">
        <is>
          <t>Trade package 14 — bid not received</t>
        </is>
      </c>
      <c r="D33" s="38" t="n">
        <v>0</v>
      </c>
    </row>
    <row r="34">
      <c r="B34" s="33" t="n">
        <v>15</v>
      </c>
      <c r="C34" s="34" t="inlineStr">
        <is>
          <t>Trade package 15 — bid not received</t>
        </is>
      </c>
      <c r="D34" s="35" t="n">
        <v>0</v>
      </c>
    </row>
    <row r="35">
      <c r="B35" s="36" t="n">
        <v>16</v>
      </c>
      <c r="C35" s="37" t="inlineStr">
        <is>
          <t>Trade package 16 — bid not received</t>
        </is>
      </c>
      <c r="D35" s="38" t="n">
        <v>0</v>
      </c>
    </row>
    <row r="36">
      <c r="B36" s="33" t="n">
        <v>17</v>
      </c>
      <c r="C36" s="34" t="inlineStr">
        <is>
          <t>Trade package 17 — bid not received</t>
        </is>
      </c>
      <c r="D36" s="35" t="n">
        <v>0</v>
      </c>
    </row>
    <row r="37">
      <c r="B37" s="36" t="n">
        <v>18</v>
      </c>
      <c r="C37" s="37" t="inlineStr">
        <is>
          <t>Trade package 18 — bid not received</t>
        </is>
      </c>
      <c r="D37" s="38" t="n">
        <v>0</v>
      </c>
    </row>
    <row r="38">
      <c r="B38" s="33" t="n">
        <v>19</v>
      </c>
      <c r="C38" s="34" t="inlineStr">
        <is>
          <t>Trade package 19 — bid not received</t>
        </is>
      </c>
      <c r="D38" s="35" t="n">
        <v>0</v>
      </c>
    </row>
    <row r="39">
      <c r="B39" s="36" t="n">
        <v>20</v>
      </c>
      <c r="C39" s="37" t="inlineStr">
        <is>
          <t>Trade package 20 — bid not received</t>
        </is>
      </c>
      <c r="D39" s="38" t="n">
        <v>0</v>
      </c>
    </row>
    <row r="40" ht="32" customHeight="1" s="73">
      <c r="C40" s="39" t="inlineStr">
        <is>
          <t>General Conditions (Weekly GC × Weeks)</t>
        </is>
      </c>
      <c r="D40" s="104">
        <f>IF(OR(E11="",B5=""),0,E11*B5)</f>
        <v/>
      </c>
      <c r="G40" s="101" t="inlineStr">
        <is>
          <t>Confirmed: D40 = E11 × B5 = $4,400 × 21 = $92,400 weekly-GC subtotal. Not a job grand total. Laborer and project manager are not included in this weekly line.</t>
        </is>
      </c>
    </row>
    <row r="41" ht="28" customHeight="1" s="73">
      <c r="C41" s="39" t="inlineStr">
        <is>
          <t>CM Fee (10% × sub/trade packages only — NOT on GC)</t>
        </is>
      </c>
      <c r="D41" s="104">
        <f>IF(E12="",0,E12*SUM(D20:D39))</f>
        <v/>
      </c>
      <c r="G41" s="101" t="inlineStr">
        <is>
          <t>CM fee = 10% × trade packages only. Not on GC fees. Not on insurance. Trades $0 until bid — CM fee $0 until packages are bid.</t>
        </is>
      </c>
    </row>
    <row r="42" ht="28" customHeight="1" s="73">
      <c r="C42" s="39" t="inlineStr">
        <is>
          <t>Insurance (1.5% × trades + GC — total revenue; NOT marked up by CM)</t>
        </is>
      </c>
      <c r="D42" s="104">
        <f>IF(E13="",0,E13*(SUM(D20:D39)+D40))</f>
        <v/>
      </c>
      <c r="G42" s="101" t="inlineStr">
        <is>
          <t>Insurance = 1.5% × (trade packages + General Conditions). Carrier basis = total revenue. CM 10% does not apply on top of this 1.5%. Real dollar once sub bids are in.</t>
        </is>
      </c>
    </row>
    <row r="43" ht="36" customHeight="1" s="73">
      <c r="C43" s="105" t="inlineStr">
        <is>
          <t>Pre-construction fee (1% × trades + GC + CM fee + insurance)</t>
        </is>
      </c>
      <c r="D43" s="106">
        <f>IF(E9="",0,E9*(SUM(D20:D42)))</f>
        <v/>
      </c>
      <c r="G43" s="101" t="inlineStr">
        <is>
          <t>Confirmed: payable with the first application for payment / NTP. 1% of the form subtotal (trades $0 + weekly GC + CM fee + insurance). Dollar will change when trade packages are bid.</t>
        </is>
      </c>
    </row>
    <row r="44" ht="32" customHeight="1" s="73">
      <c r="B44" s="84" t="inlineStr">
        <is>
          <t>FORM ROLLUP (GC / fee / pre-con only — trades $0; not a bid total)</t>
        </is>
      </c>
      <c r="D44" s="107">
        <f>SUM(D20:D43)</f>
        <v/>
      </c>
      <c r="G44" s="103" t="inlineStr">
        <is>
          <t>Sum of trade rows ($0 until bid) + weekly GC × weeks + CM 10% + insurance 1.5% + pre-construction 1%. Not a lump-sum bid and not an awarded contract price.</t>
        </is>
      </c>
    </row>
    <row r="45"/>
    <row r="46" ht="20" customHeight="1" s="73">
      <c r="B46" s="83" t="inlineStr">
        <is>
          <t>Preliminary open-book exhibit for Charrette review. Confirmed as of 4 Sep 2026: B5 = 21 weeks, E11 = $4,400/wk superintendent, E12 = 10% CM on SUB costs only (not on GC fees; not on insurance), E13 = 1.5% insurance on total revenue (trades + GC; carrier method), E15 = 10% CO markup (one-or-the-other with CM — not stacked), E9 = 1% pre-construction payable with first pay app / NTP. Trade rows $0 until packages are bid — CM and insurance dollars update then.</t>
        </is>
      </c>
    </row>
    <row r="47" ht="20" customHeight="1" s="73"/>
    <row r="48" ht="20" customHeight="1" s="73"/>
  </sheetData>
  <autoFilter ref="B19:D39"/>
  <mergeCells count="8">
    <mergeCell ref="B3:G3"/>
    <mergeCell ref="B2:G2"/>
    <mergeCell ref="B44:C44"/>
    <mergeCell ref="B46:G48"/>
    <mergeCell ref="B4:D4"/>
    <mergeCell ref="B1:G1"/>
    <mergeCell ref="B18:D18"/>
    <mergeCell ref="B7:E7"/>
  </mergeCells>
  <printOptions horizontalCentered="1"/>
  <pageMargins left="0.5" right="0.5" top="0.7" bottom="0.6" header="0.3" footer="0.3"/>
  <pageSetup orientation="landscape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K79"/>
  <sheetViews>
    <sheetView showGridLines="0" tabSelected="1" topLeftCell="A9" zoomScaleNormal="100" workbookViewId="0">
      <pane ySplit="21" topLeftCell="A69" activePane="bottomLeft" state="frozen"/>
      <selection activeCell="A4" sqref="A4:XFD4"/>
      <selection pane="bottomLeft" activeCell="A4" sqref="A4:XFD4"/>
    </sheetView>
  </sheetViews>
  <sheetFormatPr baseColWidth="10" defaultColWidth="8.6640625" defaultRowHeight="15"/>
  <cols>
    <col width="3" customWidth="1" style="73" min="1" max="1"/>
    <col width="11" customWidth="1" style="73" min="2" max="2"/>
    <col width="4" customWidth="1" style="73" min="3" max="3"/>
    <col width="42" customWidth="1" style="73" min="4" max="4"/>
    <col width="16" customWidth="1" style="73" min="5" max="5"/>
    <col width="10" customWidth="1" style="73" min="6" max="7"/>
    <col width="22" customWidth="1" style="73" min="8" max="8"/>
    <col width="14" customWidth="1" style="73" min="9" max="9"/>
    <col width="16" customWidth="1" style="73" min="10" max="10"/>
    <col width="72" customWidth="1" style="73" min="11" max="11"/>
  </cols>
  <sheetData>
    <row r="1"/>
    <row r="2">
      <c r="B2" t="inlineStr">
        <is>
          <t>Charrette MG</t>
        </is>
      </c>
    </row>
    <row r="3"/>
    <row r="4"/>
    <row r="5"/>
    <row r="6"/>
    <row r="7"/>
    <row r="8" ht="18" customHeight="1" s="73">
      <c r="I8" s="5" t="inlineStr">
        <is>
          <t>BID SCHEDULE</t>
        </is>
      </c>
    </row>
    <row r="9">
      <c r="I9" s="48" t="inlineStr">
        <is>
          <t>Preliminary open-book exhibit for Charrette review</t>
        </is>
      </c>
    </row>
    <row r="10"/>
    <row r="11"/>
    <row r="12"/>
    <row r="13" ht="15.75" customHeight="1" s="73">
      <c r="H13" s="7" t="inlineStr">
        <is>
          <t>Project Bid</t>
        </is>
      </c>
      <c r="I13" s="8" t="inlineStr">
        <is>
          <t>USD</t>
        </is>
      </c>
      <c r="J13" s="20">
        <f>J79</f>
        <v/>
      </c>
      <c r="K13" s="97" t="inlineStr">
        <is>
          <t>Rollup follows confirmed CM 10%, insurance 1.5%, superintendent $4,400 × 21, plus workers compensation 1.2% on payroll. Laborer and project-manager weeks, main-office overhead, warranty, and all trade / general-requirements dollars remain OPEN or $0. Not a lump-sum bid total.</t>
        </is>
      </c>
    </row>
    <row r="14">
      <c r="H14" s="9" t="inlineStr">
        <is>
          <t>Total with Escrows</t>
        </is>
      </c>
      <c r="I14" s="10" t="inlineStr">
        <is>
          <t>USD</t>
        </is>
      </c>
      <c r="J14" s="21">
        <f>J13+J22</f>
        <v/>
      </c>
    </row>
    <row r="15">
      <c r="D15" s="12" t="inlineStr">
        <is>
          <t>CONTRACT TYPE:</t>
        </is>
      </c>
      <c r="E15" s="79" t="inlineStr">
        <is>
          <t>Cost-Plus CM (open book)</t>
        </is>
      </c>
      <c r="H15" s="13" t="inlineStr">
        <is>
          <t>Add Alternates</t>
        </is>
      </c>
      <c r="I15" s="14" t="inlineStr">
        <is>
          <t>USD</t>
        </is>
      </c>
      <c r="J15" s="22" t="n">
        <v>0</v>
      </c>
    </row>
    <row r="16">
      <c r="D16" s="12" t="inlineStr">
        <is>
          <t>LABOR:</t>
        </is>
      </c>
      <c r="E16" s="79" t="inlineStr">
        <is>
          <t>Non-Union</t>
        </is>
      </c>
      <c r="H16" s="13" t="inlineStr">
        <is>
          <t>Deduct Alternates</t>
        </is>
      </c>
      <c r="I16" s="14" t="inlineStr">
        <is>
          <t>USD</t>
        </is>
      </c>
      <c r="J16" s="22" t="n">
        <v>0</v>
      </c>
    </row>
    <row r="17">
      <c r="D17" s="12" t="inlineStr">
        <is>
          <t>LOCATION:</t>
        </is>
      </c>
      <c r="E17" s="79" t="inlineStr">
        <is>
          <t>Ralph Lauren Boca Raton — Town Center space 1062</t>
        </is>
      </c>
    </row>
    <row r="18">
      <c r="D18" s="12" t="inlineStr">
        <is>
          <t>GC:</t>
        </is>
      </c>
      <c r="E18" s="79" t="inlineStr">
        <is>
          <t>LUX Brand Company</t>
        </is>
      </c>
    </row>
    <row r="19"/>
    <row r="20"/>
    <row r="21" ht="27.75" customHeight="1" s="73">
      <c r="A21" s="16" t="n"/>
      <c r="B21" s="16" t="inlineStr">
        <is>
          <t>CSI Code</t>
        </is>
      </c>
      <c r="C21" s="16" t="n"/>
      <c r="D21" s="16" t="inlineStr">
        <is>
          <t>Description</t>
        </is>
      </c>
      <c r="E21" s="16" t="inlineStr">
        <is>
          <t>Notes</t>
        </is>
      </c>
      <c r="F21" s="16" t="n"/>
      <c r="G21" s="16" t="n"/>
      <c r="H21" s="16" t="n"/>
      <c r="I21" s="16" t="inlineStr">
        <is>
          <t>Unit</t>
        </is>
      </c>
      <c r="J21" s="16" t="inlineStr">
        <is>
          <t>Costs &amp; Fees</t>
        </is>
      </c>
      <c r="K21" s="16" t="inlineStr">
        <is>
          <t>GC Notes</t>
        </is>
      </c>
    </row>
    <row r="22">
      <c r="D22" s="80" t="inlineStr">
        <is>
          <t>ESCROWS, ALLOWANCES &amp; REIMBURSABLES</t>
        </is>
      </c>
      <c r="I22" s="80" t="inlineStr">
        <is>
          <t>Sub Total</t>
        </is>
      </c>
      <c r="J22" s="11" t="n">
        <v>0</v>
      </c>
    </row>
    <row r="23">
      <c r="B23" s="79" t="inlineStr">
        <is>
          <t>E1.0</t>
        </is>
      </c>
      <c r="D23" s="79" t="inlineStr">
        <is>
          <t>Special Insurances Required by Ralph Lauren</t>
        </is>
      </c>
      <c r="H23" s="81" t="n"/>
      <c r="I23" s="79" t="inlineStr">
        <is>
          <t>ALLOW</t>
        </is>
      </c>
      <c r="J23" s="15" t="n">
        <v>0</v>
      </c>
      <c r="K23" s="81" t="inlineStr">
        <is>
          <t>Standard GC insurance certificates. Additional special insurance if required by Ralph Lauren.</t>
        </is>
      </c>
    </row>
    <row r="24">
      <c r="B24" s="79" t="inlineStr">
        <is>
          <t>E2.0</t>
        </is>
      </c>
      <c r="D24" s="79" t="inlineStr">
        <is>
          <t>Performance Bond and/or Sureties</t>
        </is>
      </c>
      <c r="H24" s="81" t="n"/>
      <c r="I24" s="79" t="inlineStr">
        <is>
          <t>ALLOW</t>
        </is>
      </c>
      <c r="J24" s="15" t="n">
        <v>0</v>
      </c>
      <c r="K24" s="81" t="inlineStr">
        <is>
          <t>None required</t>
        </is>
      </c>
    </row>
    <row r="25">
      <c r="B25" s="79" t="inlineStr">
        <is>
          <t>E3.0</t>
        </is>
      </c>
      <c r="D25" s="79" t="inlineStr">
        <is>
          <t>Permits, Fees, Connection Costs, Access Fees, Landlord Fees</t>
        </is>
      </c>
      <c r="H25" s="81" t="n"/>
      <c r="I25" s="79" t="inlineStr">
        <is>
          <t>ALLOW</t>
        </is>
      </c>
      <c r="J25" s="15" t="n">
        <v>0</v>
      </c>
      <c r="K25" s="81" t="inlineStr">
        <is>
          <t>Permit fees excluded — to be invoiced separately</t>
        </is>
      </c>
    </row>
    <row r="26">
      <c r="B26" s="79" t="inlineStr">
        <is>
          <t>E4.0</t>
        </is>
      </c>
      <c r="D26" s="79" t="inlineStr">
        <is>
          <t>Contingency Account or At-Risk Account/Fee</t>
        </is>
      </c>
      <c r="H26" s="81" t="n"/>
      <c r="I26" s="79" t="inlineStr">
        <is>
          <t>ALLOW</t>
        </is>
      </c>
      <c r="J26" s="15" t="n">
        <v>0</v>
      </c>
      <c r="K26" s="81" t="inlineStr">
        <is>
          <t>None</t>
        </is>
      </c>
    </row>
    <row r="27">
      <c r="B27" s="79" t="inlineStr">
        <is>
          <t>E5.0</t>
        </is>
      </c>
      <c r="D27" s="79" t="inlineStr">
        <is>
          <t>Sales Tax (district, local, state)</t>
        </is>
      </c>
      <c r="H27" s="81" t="inlineStr">
        <is>
          <t>Specify if included in subs</t>
        </is>
      </c>
      <c r="I27" s="79" t="inlineStr">
        <is>
          <t>ALLOW</t>
        </is>
      </c>
      <c r="J27" s="15" t="n">
        <v>0</v>
      </c>
      <c r="K27" s="81" t="inlineStr">
        <is>
          <t>Sales tax invoiced separately per contract — not included</t>
        </is>
      </c>
    </row>
    <row r="28"/>
    <row r="29">
      <c r="B29" s="82" t="inlineStr">
        <is>
          <t>00 / 01</t>
        </is>
      </c>
      <c r="D29" s="82" t="inlineStr">
        <is>
          <t>PROCUREMENT &amp; GENERAL REQUIREMENTS</t>
        </is>
      </c>
      <c r="J29" s="17">
        <f>J31+J34+J39+J51</f>
        <v/>
      </c>
    </row>
    <row r="30"/>
    <row r="31">
      <c r="B31" s="80" t="inlineStr">
        <is>
          <t>A</t>
        </is>
      </c>
      <c r="D31" s="80" t="inlineStr">
        <is>
          <t>OVERHEAD &amp; PROFIT (OH&amp;P)</t>
        </is>
      </c>
      <c r="I31" s="80" t="inlineStr">
        <is>
          <t>Sub Total</t>
        </is>
      </c>
      <c r="J31" s="21">
        <f>J32</f>
        <v/>
      </c>
    </row>
    <row r="32" ht="28" customHeight="1" s="73">
      <c r="B32" s="79" t="inlineStr">
        <is>
          <t>A-1</t>
        </is>
      </c>
      <c r="D32" s="79" t="inlineStr">
        <is>
          <t>Overhead &amp; Profit</t>
        </is>
      </c>
      <c r="H32" s="23">
        <f>J34+J39+J51</f>
        <v/>
      </c>
      <c r="I32" s="50" t="n">
        <v>0.1</v>
      </c>
      <c r="J32" s="23">
        <f>H32*I32</f>
        <v/>
      </c>
      <c r="K32" s="98" t="inlineStr">
        <is>
          <t>Confirmed: 10% CM fee / OH&amp;P of cost of work.</t>
        </is>
      </c>
    </row>
    <row r="33"/>
    <row r="34">
      <c r="B34" s="80" t="inlineStr">
        <is>
          <t>B</t>
        </is>
      </c>
      <c r="D34" s="80" t="inlineStr">
        <is>
          <t>GENERAL CONTRACTOR OVERHEAD</t>
        </is>
      </c>
      <c r="I34" s="80" t="inlineStr">
        <is>
          <t>Sub Total</t>
        </is>
      </c>
      <c r="J34" s="11">
        <f>J35+J36+J37</f>
        <v/>
      </c>
    </row>
    <row r="35" ht="28" customHeight="1" s="73">
      <c r="B35" s="79" t="inlineStr">
        <is>
          <t>B-2</t>
        </is>
      </c>
      <c r="D35" s="79" t="inlineStr">
        <is>
          <t>Main Office Overhead Rate (excl. project payroll)</t>
        </is>
      </c>
      <c r="H35" s="23">
        <f>J39+J51</f>
        <v/>
      </c>
      <c r="I35" s="50" t="n"/>
      <c r="J35" s="23">
        <f>H35*I35</f>
        <v/>
      </c>
      <c r="K35" s="97" t="inlineStr">
        <is>
          <t>OPEN — to be confirmed</t>
        </is>
      </c>
    </row>
    <row r="36" ht="28" customHeight="1" s="73">
      <c r="B36" s="79" t="inlineStr">
        <is>
          <t>B-3</t>
        </is>
      </c>
      <c r="D36" s="79" t="inlineStr">
        <is>
          <t>Liability Insurance</t>
        </is>
      </c>
      <c r="H36" s="23">
        <f>J39+J51+J35</f>
        <v/>
      </c>
      <c r="I36" s="50" t="n">
        <v>0.015</v>
      </c>
      <c r="J36" s="23">
        <f>H36*I36</f>
        <v/>
      </c>
      <c r="K36" s="98" t="inlineStr">
        <is>
          <t>Confirmed: 1.5% liability insurance (limits confirmed). Workers compensation billed in payroll burden (C-7, 1.2%); not duplicated in this insurance %.</t>
        </is>
      </c>
    </row>
    <row r="37" ht="28" customHeight="1" s="73">
      <c r="B37" s="79" t="inlineStr">
        <is>
          <t>B-4</t>
        </is>
      </c>
      <c r="D37" s="79" t="inlineStr">
        <is>
          <t>12-Month Owner-Required Warranty</t>
        </is>
      </c>
      <c r="H37" s="23">
        <f>J39+J51</f>
        <v/>
      </c>
      <c r="I37" s="50" t="n"/>
      <c r="J37" s="23">
        <f>H37*I37</f>
        <v/>
      </c>
      <c r="K37" s="97" t="inlineStr">
        <is>
          <t>OPEN — to be confirmed</t>
        </is>
      </c>
    </row>
    <row r="38"/>
    <row r="39">
      <c r="B39" s="80" t="inlineStr">
        <is>
          <t>C</t>
        </is>
      </c>
      <c r="D39" s="80" t="inlineStr">
        <is>
          <t>GENERAL CONTRACTOR DEDICATED ON-SITE PAYROLL</t>
        </is>
      </c>
      <c r="I39" s="80" t="inlineStr">
        <is>
          <t>Total</t>
        </is>
      </c>
      <c r="J39" s="11">
        <f>J41+J40</f>
        <v/>
      </c>
    </row>
    <row r="40">
      <c r="D40" s="81" t="inlineStr">
        <is>
          <t>Note: Employee gross pay (no employer markup; OH/payroll taxes/WC computed separately)</t>
        </is>
      </c>
      <c r="I40" s="79" t="inlineStr">
        <is>
          <t>Employer Payroll OH</t>
        </is>
      </c>
      <c r="J40" s="15" t="n">
        <v>0</v>
      </c>
    </row>
    <row r="41">
      <c r="B41" s="79" t="inlineStr">
        <is>
          <t>CC</t>
        </is>
      </c>
      <c r="D41" s="79" t="inlineStr">
        <is>
          <t>Payroll Subtotal (incl. WC)</t>
        </is>
      </c>
      <c r="I41" s="79" t="inlineStr">
        <is>
          <t>Subtotal</t>
        </is>
      </c>
      <c r="J41" s="23">
        <f>SUM(J43:J49)</f>
        <v/>
      </c>
    </row>
    <row r="42">
      <c r="E42" s="6" t="inlineStr">
        <is>
          <t>Rate $/wk</t>
        </is>
      </c>
      <c r="G42" s="6" t="inlineStr">
        <is>
          <t>Weeks</t>
        </is>
      </c>
      <c r="J42" s="81" t="inlineStr">
        <is>
          <t>Total</t>
        </is>
      </c>
    </row>
    <row r="43" ht="28" customHeight="1" s="73">
      <c r="B43" s="79" t="inlineStr">
        <is>
          <t>C-1</t>
        </is>
      </c>
      <c r="D43" s="79" t="inlineStr">
        <is>
          <t>On Site Laborer (full time)</t>
        </is>
      </c>
      <c r="E43" s="15" t="n">
        <v>2000</v>
      </c>
      <c r="F43" s="81" t="inlineStr">
        <is>
          <t>Per Week</t>
        </is>
      </c>
      <c r="G43" s="25" t="n"/>
      <c r="H43" s="81" t="inlineStr">
        <is>
          <t>Weeks</t>
        </is>
      </c>
      <c r="I43" s="81" t="inlineStr">
        <is>
          <t>TOTAL</t>
        </is>
      </c>
      <c r="J43" s="23">
        <f>E43*G43</f>
        <v/>
      </c>
      <c r="K43" s="97" t="inlineStr">
        <is>
          <t>Proposed laborer rate. Week count OPEN — to be confirmed.</t>
        </is>
      </c>
    </row>
    <row r="44" ht="28" customHeight="1" s="73">
      <c r="B44" s="79" t="inlineStr">
        <is>
          <t>C-2</t>
        </is>
      </c>
      <c r="D44" s="79" t="inlineStr">
        <is>
          <t>On Site Laborer — Store Setup Support</t>
        </is>
      </c>
      <c r="E44" s="51" t="n">
        <v>0</v>
      </c>
      <c r="F44" s="81" t="inlineStr">
        <is>
          <t>Per Week</t>
        </is>
      </c>
      <c r="G44" s="52" t="n">
        <v>0</v>
      </c>
      <c r="H44" s="81" t="inlineStr">
        <is>
          <t>Weeks</t>
        </is>
      </c>
      <c r="I44" s="81" t="inlineStr">
        <is>
          <t>TOTAL</t>
        </is>
      </c>
      <c r="J44" s="23">
        <f>E44*G44</f>
        <v/>
      </c>
      <c r="K44" s="72" t="inlineStr">
        <is>
          <t>Not used on this project.</t>
        </is>
      </c>
    </row>
    <row r="45">
      <c r="B45" s="79" t="inlineStr">
        <is>
          <t>C-3</t>
        </is>
      </c>
      <c r="D45" s="79" t="inlineStr">
        <is>
          <t>On Site Laborer (part time)</t>
        </is>
      </c>
      <c r="E45" s="15" t="n">
        <v>0</v>
      </c>
      <c r="F45" s="81" t="inlineStr">
        <is>
          <t>Per Week</t>
        </is>
      </c>
      <c r="G45" s="19" t="n">
        <v>0</v>
      </c>
      <c r="H45" s="81" t="inlineStr">
        <is>
          <t>Weeks</t>
        </is>
      </c>
      <c r="I45" s="81" t="inlineStr">
        <is>
          <t>TOTAL</t>
        </is>
      </c>
      <c r="J45" s="15">
        <f>E45*G45</f>
        <v/>
      </c>
    </row>
    <row r="46">
      <c r="B46" s="79" t="inlineStr">
        <is>
          <t>C-4</t>
        </is>
      </c>
      <c r="D46" s="79" t="inlineStr">
        <is>
          <t>Field Engineer</t>
        </is>
      </c>
      <c r="E46" s="15" t="n">
        <v>0</v>
      </c>
      <c r="F46" s="81" t="inlineStr">
        <is>
          <t>Per Week</t>
        </is>
      </c>
      <c r="G46" s="19" t="n">
        <v>0</v>
      </c>
      <c r="H46" s="81" t="inlineStr">
        <is>
          <t>Weeks</t>
        </is>
      </c>
      <c r="I46" s="81" t="inlineStr">
        <is>
          <t>TOTAL</t>
        </is>
      </c>
      <c r="J46" s="15">
        <f>E46*G46</f>
        <v/>
      </c>
    </row>
    <row r="47" ht="28" customHeight="1" s="73">
      <c r="B47" s="79" t="inlineStr">
        <is>
          <t>C-5</t>
        </is>
      </c>
      <c r="D47" s="79" t="inlineStr">
        <is>
          <t>Project Manager</t>
        </is>
      </c>
      <c r="E47" s="15" t="n">
        <v>3500</v>
      </c>
      <c r="F47" s="81" t="inlineStr">
        <is>
          <t>Per Week</t>
        </is>
      </c>
      <c r="G47" s="25" t="n"/>
      <c r="H47" s="81" t="inlineStr">
        <is>
          <t>Weeks</t>
        </is>
      </c>
      <c r="I47" s="81" t="inlineStr">
        <is>
          <t>TOTAL</t>
        </is>
      </c>
      <c r="J47" s="23">
        <f>E47*G47</f>
        <v/>
      </c>
      <c r="K47" s="97" t="inlineStr">
        <is>
          <t>Proposed project-manager rate. Week count OPEN — to be confirmed.</t>
        </is>
      </c>
    </row>
    <row r="48" ht="28" customHeight="1" s="73">
      <c r="B48" s="79" t="inlineStr">
        <is>
          <t>C-6</t>
        </is>
      </c>
      <c r="D48" s="79" t="inlineStr">
        <is>
          <t>Superintendent</t>
        </is>
      </c>
      <c r="E48" s="99" t="n">
        <v>4400</v>
      </c>
      <c r="F48" s="81" t="inlineStr">
        <is>
          <t>Per Week</t>
        </is>
      </c>
      <c r="G48" s="25" t="n">
        <v>21</v>
      </c>
      <c r="H48" s="81" t="inlineStr">
        <is>
          <t>Weeks</t>
        </is>
      </c>
      <c r="I48" s="81" t="inlineStr">
        <is>
          <t>TOTAL</t>
        </is>
      </c>
      <c r="J48" s="23">
        <f>E48*G48</f>
        <v/>
      </c>
      <c r="K48" s="98" t="inlineStr">
        <is>
          <t>Confirmed: weekly superintendent $4,400 × 21 weeks.</t>
        </is>
      </c>
    </row>
    <row r="49">
      <c r="B49" s="79" t="inlineStr">
        <is>
          <t>C-7</t>
        </is>
      </c>
      <c r="D49" s="79" t="inlineStr">
        <is>
          <t>Workers Compensation (% of payroll subtotal)</t>
        </is>
      </c>
      <c r="E49" s="18" t="n">
        <v>0.012</v>
      </c>
      <c r="F49" s="81" t="inlineStr">
        <is>
          <t>Rate</t>
        </is>
      </c>
      <c r="G49" s="15">
        <f>SUM(J43:J48)</f>
        <v/>
      </c>
      <c r="H49" s="81" t="inlineStr">
        <is>
          <t>× Subtotal</t>
        </is>
      </c>
      <c r="I49" s="81" t="inlineStr">
        <is>
          <t>TOTAL</t>
        </is>
      </c>
      <c r="J49" s="23">
        <f>E49*G49</f>
        <v/>
      </c>
      <c r="K49" s="100" t="inlineStr">
        <is>
          <t>Workers compensation 1.2% of on-site payroll (C-1 through C-6). WC billed in payroll burden; not duplicated in the 1.5% insurance %.</t>
        </is>
      </c>
    </row>
    <row r="50"/>
    <row r="51">
      <c r="B51" s="80" t="inlineStr">
        <is>
          <t>D</t>
        </is>
      </c>
      <c r="D51" s="80" t="inlineStr">
        <is>
          <t>GENERAL REQUIREMENTS WORK</t>
        </is>
      </c>
      <c r="I51" s="80" t="inlineStr">
        <is>
          <t>Total</t>
        </is>
      </c>
      <c r="J51" s="11">
        <f>J53+J52</f>
        <v/>
      </c>
    </row>
    <row r="52">
      <c r="I52" s="79" t="inlineStr">
        <is>
          <t>Mark-Up</t>
        </is>
      </c>
      <c r="J52" s="15" t="n">
        <v>0</v>
      </c>
    </row>
    <row r="53">
      <c r="B53" s="79" t="inlineStr">
        <is>
          <t>DD</t>
        </is>
      </c>
      <c r="I53" s="79" t="inlineStr">
        <is>
          <t>Sub Total</t>
        </is>
      </c>
      <c r="J53" s="15" t="n">
        <v>0</v>
      </c>
    </row>
    <row r="54">
      <c r="B54" s="79" t="inlineStr">
        <is>
          <t>D-1</t>
        </is>
      </c>
      <c r="D54" s="79" t="inlineStr">
        <is>
          <t>Materials, travel, supplies, small tools, and consumables</t>
        </is>
      </c>
      <c r="I54" s="79" t="inlineStr">
        <is>
          <t>T&amp;M / ALLOW</t>
        </is>
      </c>
      <c r="J54" s="15" t="n">
        <v>0</v>
      </c>
      <c r="K54" s="81" t="inlineStr">
        <is>
          <t>General conditions</t>
        </is>
      </c>
    </row>
    <row r="55">
      <c r="B55" s="79" t="inlineStr">
        <is>
          <t>D-2</t>
        </is>
      </c>
      <c r="D55" s="79" t="inlineStr">
        <is>
          <t>Construction documentation and submittals</t>
        </is>
      </c>
      <c r="I55" s="79" t="inlineStr">
        <is>
          <t>T&amp;M / ALLOW</t>
        </is>
      </c>
      <c r="J55" s="15" t="n">
        <v>0</v>
      </c>
    </row>
    <row r="56">
      <c r="B56" s="79" t="inlineStr">
        <is>
          <t>D-3</t>
        </is>
      </c>
      <c r="D56" s="79" t="inlineStr">
        <is>
          <t>Independent testing and inspecting services</t>
        </is>
      </c>
      <c r="I56" s="79" t="inlineStr">
        <is>
          <t>T&amp;M / ALLOW</t>
        </is>
      </c>
      <c r="J56" s="15" t="n">
        <v>0</v>
      </c>
      <c r="K56" s="81" t="inlineStr">
        <is>
          <t>All testing by others — see Add Alternates</t>
        </is>
      </c>
    </row>
    <row r="57">
      <c r="B57" s="79" t="inlineStr">
        <is>
          <t>D-4</t>
        </is>
      </c>
      <c r="D57" s="79" t="inlineStr">
        <is>
          <t>X-ray concrete slabs / GPR / exploratory items</t>
        </is>
      </c>
      <c r="I57" s="79" t="inlineStr">
        <is>
          <t>T&amp;M / ALLOW</t>
        </is>
      </c>
      <c r="J57" s="15" t="n">
        <v>0</v>
      </c>
      <c r="K57" s="81" t="inlineStr">
        <is>
          <t>Included in Div 03 80 00</t>
        </is>
      </c>
    </row>
    <row r="58">
      <c r="B58" s="79" t="inlineStr">
        <is>
          <t>D-5</t>
        </is>
      </c>
      <c r="D58" s="79" t="inlineStr">
        <is>
          <t>Temporary utilities</t>
        </is>
      </c>
      <c r="I58" s="79" t="inlineStr">
        <is>
          <t>T&amp;M / ALLOW</t>
        </is>
      </c>
      <c r="J58" s="15" t="n">
        <v>0</v>
      </c>
      <c r="K58" s="81" t="inlineStr">
        <is>
          <t>By Landlord</t>
        </is>
      </c>
    </row>
    <row r="59">
      <c r="B59" s="79" t="inlineStr">
        <is>
          <t>D-6</t>
        </is>
      </c>
      <c r="D59" s="79" t="inlineStr">
        <is>
          <t>Temporary storage / staging space</t>
        </is>
      </c>
      <c r="I59" s="79" t="inlineStr">
        <is>
          <t>T&amp;M / ALLOW</t>
        </is>
      </c>
      <c r="J59" s="15" t="n">
        <v>0</v>
      </c>
    </row>
    <row r="60">
      <c r="B60" s="79" t="inlineStr">
        <is>
          <t>D-7</t>
        </is>
      </c>
      <c r="D60" s="79" t="inlineStr">
        <is>
          <t>Field office expense / WiFi</t>
        </is>
      </c>
      <c r="I60" s="79" t="inlineStr">
        <is>
          <t>T&amp;M / ALLOW</t>
        </is>
      </c>
      <c r="J60" s="15" t="n">
        <v>0</v>
      </c>
    </row>
    <row r="61">
      <c r="B61" s="79" t="inlineStr">
        <is>
          <t>D-8</t>
        </is>
      </c>
      <c r="D61" s="79" t="inlineStr">
        <is>
          <t>Vehicular access, traffic control &amp; parking</t>
        </is>
      </c>
      <c r="I61" s="79" t="inlineStr">
        <is>
          <t>T&amp;M / ALLOW</t>
        </is>
      </c>
      <c r="J61" s="15" t="n">
        <v>0</v>
      </c>
    </row>
    <row r="62">
      <c r="B62" s="79" t="inlineStr">
        <is>
          <t>D-9</t>
        </is>
      </c>
      <c r="D62" s="79" t="inlineStr">
        <is>
          <t>Roads and sidewalks, temporary</t>
        </is>
      </c>
      <c r="I62" s="79" t="inlineStr">
        <is>
          <t>T&amp;M / ALLOW</t>
        </is>
      </c>
      <c r="J62" s="15" t="n">
        <v>0</v>
      </c>
    </row>
    <row r="63">
      <c r="B63" s="79" t="inlineStr">
        <is>
          <t>D-10</t>
        </is>
      </c>
      <c r="D63" s="79" t="inlineStr">
        <is>
          <t>Temporary barriers, enclosures, barricades</t>
        </is>
      </c>
      <c r="I63" s="79" t="inlineStr">
        <is>
          <t>T&amp;M / ALLOW</t>
        </is>
      </c>
      <c r="J63" s="15" t="n">
        <v>0</v>
      </c>
      <c r="K63" s="81" t="inlineStr">
        <is>
          <t>Mall barricades by Landlord</t>
        </is>
      </c>
    </row>
    <row r="64">
      <c r="B64" s="79" t="inlineStr">
        <is>
          <t>D-11</t>
        </is>
      </c>
      <c r="D64" s="79" t="inlineStr">
        <is>
          <t>Temporary security</t>
        </is>
      </c>
      <c r="I64" s="79" t="inlineStr">
        <is>
          <t>T&amp;M / ALLOW</t>
        </is>
      </c>
      <c r="J64" s="15" t="n">
        <v>0</v>
      </c>
    </row>
    <row r="65">
      <c r="B65" s="79" t="inlineStr">
        <is>
          <t>D-12</t>
        </is>
      </c>
      <c r="D65" s="79" t="inlineStr">
        <is>
          <t>Temporary protective walkways</t>
        </is>
      </c>
      <c r="I65" s="79" t="inlineStr">
        <is>
          <t>T&amp;M / ALLOW</t>
        </is>
      </c>
      <c r="J65" s="15" t="n">
        <v>0</v>
      </c>
    </row>
    <row r="66">
      <c r="B66" s="79" t="inlineStr">
        <is>
          <t>D-13</t>
        </is>
      </c>
      <c r="D66" s="79" t="inlineStr">
        <is>
          <t>Temporary fencing</t>
        </is>
      </c>
      <c r="I66" s="79" t="inlineStr">
        <is>
          <t>T&amp;M / ALLOW</t>
        </is>
      </c>
      <c r="J66" s="15" t="n">
        <v>0</v>
      </c>
    </row>
    <row r="67">
      <c r="B67" s="79" t="inlineStr">
        <is>
          <t>D-14</t>
        </is>
      </c>
      <c r="D67" s="79" t="inlineStr">
        <is>
          <t>Temporary project signage</t>
        </is>
      </c>
      <c r="I67" s="79" t="inlineStr">
        <is>
          <t>T&amp;M / ALLOW</t>
        </is>
      </c>
      <c r="J67" s="15" t="n">
        <v>0</v>
      </c>
    </row>
    <row r="68">
      <c r="B68" s="79" t="inlineStr">
        <is>
          <t>D-15</t>
        </is>
      </c>
      <c r="D68" s="79" t="inlineStr">
        <is>
          <t>Equipment (cranes, hoists, lifts)</t>
        </is>
      </c>
      <c r="I68" s="79" t="inlineStr">
        <is>
          <t>T&amp;M / ALLOW</t>
        </is>
      </c>
      <c r="J68" s="15" t="n">
        <v>0</v>
      </c>
    </row>
    <row r="69">
      <c r="B69" s="79" t="inlineStr">
        <is>
          <t>D-16</t>
        </is>
      </c>
      <c r="D69" s="79" t="inlineStr">
        <is>
          <t>Field engineering / professional expenses / Permit Fees</t>
        </is>
      </c>
      <c r="H69" s="81" t="inlineStr">
        <is>
          <t>Permit fees NOT included in this pricing</t>
        </is>
      </c>
      <c r="I69" s="79" t="inlineStr">
        <is>
          <t>T&amp;M / ALLOW</t>
        </is>
      </c>
      <c r="J69" s="15" t="n">
        <v>0</v>
      </c>
      <c r="K69" s="81" t="inlineStr">
        <is>
          <t>Permit fees excluded</t>
        </is>
      </c>
    </row>
    <row r="70">
      <c r="B70" s="79" t="inlineStr">
        <is>
          <t>D-17</t>
        </is>
      </c>
      <c r="D70" s="79" t="inlineStr">
        <is>
          <t>Progress cleaning and debris removal</t>
        </is>
      </c>
      <c r="I70" s="79" t="inlineStr">
        <is>
          <t>T&amp;M / ALLOW</t>
        </is>
      </c>
      <c r="J70" s="15" t="n">
        <v>0</v>
      </c>
      <c r="K70" s="81" t="inlineStr">
        <is>
          <t>Daily site cleanup by GC</t>
        </is>
      </c>
    </row>
    <row r="71">
      <c r="B71" s="79" t="inlineStr">
        <is>
          <t>D-18</t>
        </is>
      </c>
      <c r="D71" s="79" t="inlineStr">
        <is>
          <t>Final clean by GC at end of job</t>
        </is>
      </c>
      <c r="I71" s="79" t="inlineStr">
        <is>
          <t>T&amp;M / ALLOW</t>
        </is>
      </c>
      <c r="J71" s="15" t="n">
        <v>0</v>
      </c>
      <c r="K71" s="81" t="inlineStr">
        <is>
          <t>Two cleans — pre-handover and pre-opening</t>
        </is>
      </c>
    </row>
    <row r="72">
      <c r="B72" s="79" t="inlineStr">
        <is>
          <t>D-19</t>
        </is>
      </c>
      <c r="D72" s="79" t="inlineStr">
        <is>
          <t>Temporary protection, dust control, tarping</t>
        </is>
      </c>
      <c r="I72" s="79" t="inlineStr">
        <is>
          <t>T&amp;M / ALLOW</t>
        </is>
      </c>
      <c r="J72" s="15" t="n">
        <v>0</v>
      </c>
      <c r="K72" s="81" t="inlineStr">
        <is>
          <t>Floor protection and dust control</t>
        </is>
      </c>
    </row>
    <row r="73">
      <c r="B73" s="79" t="inlineStr">
        <is>
          <t>D-20</t>
        </is>
      </c>
      <c r="D73" s="79" t="inlineStr">
        <is>
          <t>Building commissioning, turnover, lien releases</t>
        </is>
      </c>
      <c r="I73" s="79" t="inlineStr">
        <is>
          <t>T&amp;M / ALLOW</t>
        </is>
      </c>
      <c r="J73" s="15" t="n">
        <v>0</v>
      </c>
    </row>
    <row r="74">
      <c r="B74" s="79" t="inlineStr">
        <is>
          <t>D-21</t>
        </is>
      </c>
      <c r="D74" s="79" t="inlineStr">
        <is>
          <t>Travel expense</t>
        </is>
      </c>
      <c r="I74" s="79" t="inlineStr">
        <is>
          <t>T&amp;M / ALLOW</t>
        </is>
      </c>
      <c r="J74" s="15" t="n">
        <v>0</v>
      </c>
      <c r="K74" s="49" t="inlineStr">
        <is>
          <t>OPEN — to be confirmed</t>
        </is>
      </c>
    </row>
    <row r="75" ht="28" customHeight="1" s="73">
      <c r="B75" s="79" t="inlineStr">
        <is>
          <t>D-22</t>
        </is>
      </c>
      <c r="D75" s="79" t="inlineStr">
        <is>
          <t>Mall non-refundable site fees</t>
        </is>
      </c>
      <c r="H75" s="81" t="inlineStr">
        <is>
          <t>Sprinkler shut-down fees etc.</t>
        </is>
      </c>
      <c r="I75" s="79" t="inlineStr">
        <is>
          <t>T&amp;M / ALLOW</t>
        </is>
      </c>
      <c r="J75" s="15" t="n">
        <v>0</v>
      </c>
      <c r="K75" s="72" t="inlineStr">
        <is>
          <t>Listed mall unit rates (see MALL FEES): temp electric $1,455.12 + temp water $338.40 + after hours $400 + tenant coordination $250 = $2,443.52. This line stays $0 until entered as a bid dollar. Parking months and sprinkler-shutdown count are OPEN — to be confirmed. Mall figures are unit-rate notes, not a bid total.</t>
        </is>
      </c>
    </row>
    <row r="76"/>
    <row r="77"/>
    <row r="78"/>
    <row r="79">
      <c r="D79" s="80" t="inlineStr">
        <is>
          <t>HARD COST SUBTOTAL</t>
        </is>
      </c>
      <c r="J79" s="21">
        <f>J31+J34+J39+J51</f>
        <v/>
      </c>
    </row>
  </sheetData>
  <mergeCells count="41">
    <mergeCell ref="D56:G56"/>
    <mergeCell ref="D71:G71"/>
    <mergeCell ref="D34:H34"/>
    <mergeCell ref="D58:G58"/>
    <mergeCell ref="D25:G25"/>
    <mergeCell ref="D74:G74"/>
    <mergeCell ref="D68:G68"/>
    <mergeCell ref="D24:G24"/>
    <mergeCell ref="D64:G64"/>
    <mergeCell ref="D31:H31"/>
    <mergeCell ref="D67:G67"/>
    <mergeCell ref="D55:G55"/>
    <mergeCell ref="D73:G73"/>
    <mergeCell ref="D22:H22"/>
    <mergeCell ref="D40:H40"/>
    <mergeCell ref="D23:G23"/>
    <mergeCell ref="D54:G54"/>
    <mergeCell ref="D26:G26"/>
    <mergeCell ref="D59:G59"/>
    <mergeCell ref="D35:G35"/>
    <mergeCell ref="D69:G69"/>
    <mergeCell ref="D60:G60"/>
    <mergeCell ref="D41:H41"/>
    <mergeCell ref="D63:G63"/>
    <mergeCell ref="D65:G65"/>
    <mergeCell ref="E17:K17"/>
    <mergeCell ref="D29:I29"/>
    <mergeCell ref="D36:G36"/>
    <mergeCell ref="D79:I79"/>
    <mergeCell ref="D57:G57"/>
    <mergeCell ref="D27:G27"/>
    <mergeCell ref="D32:G32"/>
    <mergeCell ref="D70:G70"/>
    <mergeCell ref="D39:H39"/>
    <mergeCell ref="D61:G61"/>
    <mergeCell ref="D75:G75"/>
    <mergeCell ref="D66:G66"/>
    <mergeCell ref="D72:G72"/>
    <mergeCell ref="D51:H51"/>
    <mergeCell ref="D37:G37"/>
    <mergeCell ref="D62:G62"/>
  </mergeCells>
  <printOptions horizontalCentered="1"/>
  <pageMargins left="0.5" right="0.5" top="0.7" bottom="0.6" header="0.3" footer="0.3"/>
  <pageSetup orientation="landscape" fitToHeight="0" horizontalDpi="300" verticalDpi="300"/>
  <headerFooter>
    <oddHeader>&amp;LLUX Brand Company&amp;CRalph Lauren — Town Center at Boca Raton, Simon space 1062&amp;RGC Bid Form  |  cost-plus CM  |  first draft</oddHeader>
    <oddFooter>&amp;LLUX Brand Company&amp;CNot a lump-sum bid  |  yellow cells are OPEN&amp;RPage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5"/>
  <cols>
    <col width="4" customWidth="1" style="73" min="1" max="1"/>
    <col width="36" customWidth="1" style="73" min="2" max="2"/>
    <col width="16" customWidth="1" style="73" min="3" max="5"/>
    <col width="18" customWidth="1" style="73" min="6" max="7"/>
    <col width="42" customWidth="1" style="73" min="8" max="8"/>
  </cols>
  <sheetData>
    <row r="1" ht="24" customHeight="1" s="73">
      <c r="B1" s="78" t="inlineStr">
        <is>
          <t>Mall fees — unit rates on 3,800 sf (notes, not a job grand total)</t>
        </is>
      </c>
    </row>
    <row r="2" ht="28" customHeight="1" s="73">
      <c r="B2" s="83" t="inlineStr">
        <is>
          <t>LUX Brand Company  |  Ralph Lauren  |  Town Center at Boca Raton, Simon space 1062  |  Permit fees excluded / invoiced separately  |  Sales tax invoiced separately</t>
        </is>
      </c>
    </row>
    <row r="3"/>
    <row r="4">
      <c r="B4" s="39" t="inlineStr">
        <is>
          <t>Area (sf)</t>
        </is>
      </c>
      <c r="C4" s="56" t="n">
        <v>3800</v>
      </c>
      <c r="D4" s="93" t="inlineStr">
        <is>
          <t>Area used only to extend $/sf mall items below</t>
        </is>
      </c>
    </row>
    <row r="5"/>
    <row r="6" ht="16" customHeight="1" s="73">
      <c r="B6" s="42" t="inlineStr">
        <is>
          <t>Item</t>
        </is>
      </c>
      <c r="C6" s="42" t="inlineStr">
        <is>
          <t>Unit rate</t>
        </is>
      </c>
      <c r="D6" s="42" t="inlineStr">
        <is>
          <t>Unit</t>
        </is>
      </c>
      <c r="E6" s="42" t="inlineStr">
        <is>
          <t>Qty</t>
        </is>
      </c>
      <c r="F6" s="42" t="inlineStr">
        <is>
          <t>Extension</t>
        </is>
      </c>
      <c r="G6" s="42" t="inlineStr">
        <is>
          <t>Status</t>
        </is>
      </c>
      <c r="H6" s="42" t="inlineStr">
        <is>
          <t>Notes</t>
        </is>
      </c>
    </row>
    <row r="7" ht="28" customHeight="1" s="73">
      <c r="B7" s="70" t="inlineStr">
        <is>
          <t>Temporary electric</t>
        </is>
      </c>
      <c r="C7" s="57" t="n">
        <v>0.43</v>
      </c>
      <c r="D7" s="33" t="inlineStr">
        <is>
          <t>$/sf</t>
        </is>
      </c>
      <c r="E7" s="58" t="n">
        <v>3800</v>
      </c>
      <c r="F7" s="96" t="n">
        <v>1455.12</v>
      </c>
      <c r="G7" s="59" t="inlineStr">
        <is>
          <t>Listed</t>
        </is>
      </c>
      <c r="H7" s="60" t="inlineStr">
        <is>
          <t>Unit rate $0.43/sf × 3,800 sf. Extension is rate × sf, not a job total.</t>
        </is>
      </c>
    </row>
    <row r="8" ht="28" customHeight="1" s="73">
      <c r="B8" s="70" t="inlineStr">
        <is>
          <t>Temporary water</t>
        </is>
      </c>
      <c r="C8" s="57" t="n">
        <v>0.1</v>
      </c>
      <c r="D8" s="33" t="inlineStr">
        <is>
          <t>$/sf</t>
        </is>
      </c>
      <c r="E8" s="58" t="n">
        <v>3800</v>
      </c>
      <c r="F8" s="96" t="n">
        <v>338.4</v>
      </c>
      <c r="G8" s="59" t="inlineStr">
        <is>
          <t>Listed</t>
        </is>
      </c>
      <c r="H8" s="60" t="inlineStr">
        <is>
          <t>Unit rate $0.10/sf × 3,800 sf. Extension is rate × sf, not a job total.</t>
        </is>
      </c>
    </row>
    <row r="9" ht="28" customHeight="1" s="73">
      <c r="B9" s="70" t="inlineStr">
        <is>
          <t>After hours</t>
        </is>
      </c>
      <c r="C9" s="57" t="n">
        <v>400</v>
      </c>
      <c r="D9" s="33" t="inlineStr">
        <is>
          <t>one-time</t>
        </is>
      </c>
      <c r="E9" s="61" t="n">
        <v>1</v>
      </c>
      <c r="F9" s="96" t="n">
        <v>400</v>
      </c>
      <c r="G9" s="59" t="inlineStr">
        <is>
          <t>Listed</t>
        </is>
      </c>
      <c r="H9" s="60" t="inlineStr">
        <is>
          <t>Unit rate $400 one-time.</t>
        </is>
      </c>
    </row>
    <row r="10" ht="28" customHeight="1" s="73">
      <c r="B10" s="70" t="inlineStr">
        <is>
          <t>Parking</t>
        </is>
      </c>
      <c r="C10" s="57" t="n">
        <v>250</v>
      </c>
      <c r="D10" s="33" t="inlineStr">
        <is>
          <t>$/month</t>
        </is>
      </c>
      <c r="E10" s="62" t="n">
        <v>5</v>
      </c>
      <c r="F10" s="116">
        <f>IF(OR(E10="",C10=""),"",C10*E10)</f>
        <v/>
      </c>
      <c r="G10" s="55" t="inlineStr">
        <is>
          <t>Set</t>
        </is>
      </c>
      <c r="H10" s="60" t="inlineStr">
        <is>
          <t>Unit rate $250/month. Month count OPEN — to be confirmed. Extension waits on E10.</t>
        </is>
      </c>
    </row>
    <row r="11" ht="28" customHeight="1" s="73">
      <c r="B11" s="70" t="inlineStr">
        <is>
          <t>Tenant coordination</t>
        </is>
      </c>
      <c r="C11" s="57" t="n">
        <v>250</v>
      </c>
      <c r="D11" s="33" t="inlineStr">
        <is>
          <t>one-time</t>
        </is>
      </c>
      <c r="E11" s="61" t="n">
        <v>1</v>
      </c>
      <c r="F11" s="96" t="n">
        <v>250</v>
      </c>
      <c r="G11" s="59" t="inlineStr">
        <is>
          <t>Listed</t>
        </is>
      </c>
      <c r="H11" s="60" t="inlineStr">
        <is>
          <t>Unit rate $250 one-time.</t>
        </is>
      </c>
    </row>
    <row r="12" ht="28" customHeight="1" s="73">
      <c r="B12" s="70" t="inlineStr">
        <is>
          <t>Sprinkler shutdown</t>
        </is>
      </c>
      <c r="C12" s="57" t="n">
        <v>250</v>
      </c>
      <c r="D12" s="33" t="inlineStr">
        <is>
          <t>each</t>
        </is>
      </c>
      <c r="E12" s="62" t="n"/>
      <c r="F12" s="116">
        <f>IF(OR(E12="",C12=""),"",C12*E12)</f>
        <v/>
      </c>
      <c r="G12" s="55" t="inlineStr">
        <is>
          <t>OPEN</t>
        </is>
      </c>
      <c r="H12" s="60" t="inlineStr">
        <is>
          <t>Unit rate $250 each. Count OPEN — to be confirmed. Extension waits on E12.</t>
        </is>
      </c>
    </row>
    <row r="13"/>
    <row r="14">
      <c r="B14" s="63" t="inlineStr">
        <is>
          <t>Permit fees</t>
        </is>
      </c>
      <c r="C14" s="90" t="inlineStr">
        <is>
          <t>Excluded / invoiced separately. Not extended on this sheet.</t>
        </is>
      </c>
      <c r="D14" s="94" t="n"/>
      <c r="E14" s="94" t="n"/>
      <c r="F14" s="94" t="n"/>
      <c r="G14" s="94" t="n"/>
      <c r="H14" s="95" t="n"/>
    </row>
    <row r="15">
      <c r="B15" s="63" t="inlineStr">
        <is>
          <t>Sales tax</t>
        </is>
      </c>
      <c r="C15" s="90" t="inlineStr">
        <is>
          <t>Invoiced separately. Not extended on this sheet.</t>
        </is>
      </c>
      <c r="D15" s="94" t="n"/>
      <c r="E15" s="94" t="n"/>
      <c r="F15" s="94" t="n"/>
      <c r="G15" s="94" t="n"/>
      <c r="H15" s="95" t="n"/>
    </row>
    <row r="16"/>
    <row r="17" ht="20" customHeight="1" s="73">
      <c r="B17" s="92" t="inlineStr">
        <is>
          <t>Listed mall dollars on this sheet (not a job grand total): temp electric $1,455.12 + temp water $338.40 + after hours $400 + tenant coordination $250 = $2,443.52. Parking months and sprinkler-shutdown count are OPEN — to be confirmed. Unit rates on 3,800 sf — not a bid total.</t>
        </is>
      </c>
    </row>
    <row r="18" ht="20" customHeight="1" s="73"/>
  </sheetData>
  <mergeCells count="6">
    <mergeCell ref="B1:H1"/>
    <mergeCell ref="C14:H14"/>
    <mergeCell ref="B2:H2"/>
    <mergeCell ref="B17:H18"/>
    <mergeCell ref="D4:H4"/>
    <mergeCell ref="C15:H15"/>
  </mergeCells>
  <printOptions horizontalCentered="1"/>
  <pageMargins left="0.5" right="0.5" top="0.7" bottom="0.6" header="0.3" footer="0.3"/>
  <pageSetup orientation="landscape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2F5496"/>
    <outlinePr summaryBelow="1" summaryRight="1"/>
    <pageSetUpPr fitToPage="1"/>
  </sheetPr>
  <dimension ref="A1:E27"/>
  <sheetViews>
    <sheetView showGridLines="0" workbookViewId="0">
      <pane ySplit="4" topLeftCell="A5" activePane="bottomLeft" state="frozen"/>
      <selection pane="bottomLeft" activeCell="D17" sqref="D17"/>
    </sheetView>
  </sheetViews>
  <sheetFormatPr baseColWidth="10" defaultColWidth="8.83203125" defaultRowHeight="15"/>
  <cols>
    <col width="4" customWidth="1" style="73" min="1" max="1"/>
    <col width="28" customWidth="1" style="73" min="2" max="2"/>
    <col width="42" customWidth="1" style="73" min="3" max="3"/>
    <col width="18" customWidth="1" style="73" min="4" max="4"/>
    <col width="48" customWidth="1" style="73" min="5" max="5"/>
  </cols>
  <sheetData>
    <row r="1" ht="24" customHeight="1" s="73">
      <c r="B1" s="78" t="inlineStr">
        <is>
          <t>Proposed roster (proposed, not awarded)</t>
        </is>
      </c>
    </row>
    <row r="2" ht="32" customHeight="1" s="73">
      <c r="B2" s="83" t="inlineStr">
        <is>
          <t>LUX Brand Company  |  Ralph Lauren  |  Town Center at Boca Raton, Simon space 1062  |  Names below are proposed only. No trade-package dollars on LANDIS FORM until bids are received.</t>
        </is>
      </c>
    </row>
    <row r="3"/>
    <row r="4" ht="16" customHeight="1" s="73">
      <c r="B4" s="42" t="inlineStr">
        <is>
          <t>Scope</t>
        </is>
      </c>
      <c r="C4" s="42" t="inlineStr">
        <is>
          <t>Proposed firm</t>
        </is>
      </c>
      <c r="D4" s="42" t="inlineStr">
        <is>
          <t>Status</t>
        </is>
      </c>
      <c r="E4" s="42" t="inlineStr">
        <is>
          <t>Notes</t>
        </is>
      </c>
    </row>
    <row r="5" ht="22" customHeight="1" s="73">
      <c r="B5" s="65" t="inlineStr">
        <is>
          <t>Superintendent</t>
        </is>
      </c>
      <c r="C5" s="90" t="inlineStr">
        <is>
          <t>Robert Colvin</t>
        </is>
      </c>
      <c r="D5" s="36" t="inlineStr">
        <is>
          <t>Proposed</t>
        </is>
      </c>
      <c r="E5" s="66" t="inlineStr">
        <is>
          <t>Not awarded.</t>
        </is>
      </c>
    </row>
    <row r="6" ht="22" customHeight="1" s="73">
      <c r="B6" t="inlineStr">
        <is>
          <t>Project Manager</t>
        </is>
      </c>
      <c r="C6" t="inlineStr">
        <is>
          <t>Shawn Rasmusen</t>
        </is>
      </c>
      <c r="D6" t="inlineStr">
        <is>
          <t>Set</t>
        </is>
      </c>
      <c r="E6" t="inlineStr">
        <is>
          <t>$3,500/wk + 4 trips. Not in LANDIS FORM weekly superintendent line.</t>
        </is>
      </c>
    </row>
    <row r="7" ht="22" customHeight="1" s="73">
      <c r="B7" s="67" t="inlineStr">
        <is>
          <t>Demo</t>
        </is>
      </c>
      <c r="C7" s="68" t="inlineStr">
        <is>
          <t>MSA Painting</t>
        </is>
      </c>
      <c r="D7" s="59" t="inlineStr">
        <is>
          <t>Proposed</t>
        </is>
      </c>
      <c r="E7" s="69" t="inlineStr">
        <is>
          <t>Not awarded.</t>
        </is>
      </c>
    </row>
    <row r="8" ht="22" customHeight="1" s="73">
      <c r="B8" s="65" t="inlineStr">
        <is>
          <t>Scan / cut</t>
        </is>
      </c>
      <c r="C8" s="90" t="inlineStr">
        <is>
          <t>Big T</t>
        </is>
      </c>
      <c r="D8" s="36" t="inlineStr">
        <is>
          <t>Proposed</t>
        </is>
      </c>
      <c r="E8" s="66" t="inlineStr">
        <is>
          <t>Not awarded.</t>
        </is>
      </c>
    </row>
    <row r="9" ht="22" customHeight="1" s="73">
      <c r="B9" s="67" t="inlineStr">
        <is>
          <t>Framing / drywall</t>
        </is>
      </c>
      <c r="C9" s="68" t="inlineStr">
        <is>
          <t>Hunt Interiors</t>
        </is>
      </c>
      <c r="D9" s="59" t="inlineStr">
        <is>
          <t>Proposed</t>
        </is>
      </c>
      <c r="E9" s="69" t="inlineStr">
        <is>
          <t>Not awarded.</t>
        </is>
      </c>
    </row>
    <row r="10" ht="22" customHeight="1" s="73">
      <c r="B10" s="65" t="inlineStr">
        <is>
          <t>Electrical</t>
        </is>
      </c>
      <c r="C10" s="90" t="inlineStr">
        <is>
          <t>TBD — Alcor or South Palm</t>
        </is>
      </c>
      <c r="D10" s="36" t="inlineStr">
        <is>
          <t>Proposed / TBD</t>
        </is>
      </c>
      <c r="E10" s="66" t="inlineStr">
        <is>
          <t>Not awarded. Firm not selected.</t>
        </is>
      </c>
    </row>
    <row r="11" ht="22" customHeight="1" s="73">
      <c r="B11" s="67" t="inlineStr">
        <is>
          <t>Low voltage</t>
        </is>
      </c>
      <c r="C11" s="68" t="inlineStr">
        <is>
          <t>TBD — Alcor or South Palm</t>
        </is>
      </c>
      <c r="D11" s="59" t="inlineStr">
        <is>
          <t>Proposed / TBD</t>
        </is>
      </c>
      <c r="E11" s="69" t="inlineStr">
        <is>
          <t>Same shortlist as electrical. Not awarded.</t>
        </is>
      </c>
    </row>
    <row r="12" ht="22" customHeight="1" s="73">
      <c r="B12" s="65" t="inlineStr">
        <is>
          <t>Plumbing</t>
        </is>
      </c>
      <c r="C12" s="90" t="inlineStr">
        <is>
          <t>Langes</t>
        </is>
      </c>
      <c r="D12" s="36" t="inlineStr">
        <is>
          <t>Proposed</t>
        </is>
      </c>
      <c r="E12" s="66" t="inlineStr">
        <is>
          <t>Not awarded.</t>
        </is>
      </c>
    </row>
    <row r="13" ht="22" customHeight="1" s="73">
      <c r="B13" s="67" t="inlineStr">
        <is>
          <t>HVAC</t>
        </is>
      </c>
      <c r="C13" s="68" t="inlineStr">
        <is>
          <t>Air South</t>
        </is>
      </c>
      <c r="D13" s="59" t="inlineStr">
        <is>
          <t>Proposed</t>
        </is>
      </c>
      <c r="E13" s="69" t="inlineStr">
        <is>
          <t>Not awarded.</t>
        </is>
      </c>
    </row>
    <row r="14" ht="22" customHeight="1" s="73">
      <c r="B14" s="65" t="inlineStr">
        <is>
          <t>Storefront</t>
        </is>
      </c>
      <c r="C14" s="90" t="inlineStr">
        <is>
          <t>TBD — RSG or Abbott</t>
        </is>
      </c>
      <c r="D14" s="36" t="inlineStr">
        <is>
          <t>Proposed / TBD</t>
        </is>
      </c>
      <c r="E14" s="66" t="inlineStr">
        <is>
          <t>Not awarded. Firm not selected.</t>
        </is>
      </c>
    </row>
    <row r="15" ht="22" customHeight="1" s="73">
      <c r="B15" s="67" t="inlineStr">
        <is>
          <t>Flooring</t>
        </is>
      </c>
      <c r="C15" s="68" t="inlineStr">
        <is>
          <t>Twins</t>
        </is>
      </c>
      <c r="D15" s="59" t="inlineStr">
        <is>
          <t>Proposed</t>
        </is>
      </c>
      <c r="E15" s="69" t="inlineStr">
        <is>
          <t>Not awarded.</t>
        </is>
      </c>
    </row>
    <row r="16" ht="22" customHeight="1" s="73">
      <c r="B16" s="65" t="inlineStr">
        <is>
          <t>Paint</t>
        </is>
      </c>
      <c r="C16" s="90" t="inlineStr">
        <is>
          <t>National Retail Painting</t>
        </is>
      </c>
      <c r="D16" s="36" t="inlineStr">
        <is>
          <t>Proposed</t>
        </is>
      </c>
      <c r="E16" s="66" t="inlineStr">
        <is>
          <t>Not awarded.</t>
        </is>
      </c>
    </row>
    <row r="17" ht="22" customHeight="1" s="73">
      <c r="B17" s="67" t="inlineStr">
        <is>
          <t>Sprinklers</t>
        </is>
      </c>
      <c r="C17" s="68" t="inlineStr">
        <is>
          <t>Polaris</t>
        </is>
      </c>
      <c r="D17" s="59" t="inlineStr">
        <is>
          <t>Proposed (mall)</t>
        </is>
      </c>
      <c r="E17" s="69" t="inlineStr">
        <is>
          <t>Mall-required. Not awarded.</t>
        </is>
      </c>
    </row>
    <row r="18" ht="22" customHeight="1" s="73">
      <c r="B18" s="65" t="inlineStr">
        <is>
          <t>Fire alarm</t>
        </is>
      </c>
      <c r="C18" s="90" t="inlineStr">
        <is>
          <t>JCI</t>
        </is>
      </c>
      <c r="D18" s="36" t="inlineStr">
        <is>
          <t>Proposed (mall)</t>
        </is>
      </c>
      <c r="E18" s="66" t="inlineStr">
        <is>
          <t>Mall-required. Not awarded.</t>
        </is>
      </c>
    </row>
    <row r="19" ht="22" customHeight="1" s="73">
      <c r="B19" s="67" t="inlineStr">
        <is>
          <t>FA rough-in</t>
        </is>
      </c>
      <c r="C19" s="68" t="inlineStr">
        <is>
          <t>South Palm</t>
        </is>
      </c>
      <c r="D19" s="59" t="inlineStr">
        <is>
          <t>Proposed (mall)</t>
        </is>
      </c>
      <c r="E19" s="69" t="inlineStr">
        <is>
          <t>Mall-required. Not awarded.</t>
        </is>
      </c>
    </row>
    <row r="20" ht="22" customHeight="1" s="73">
      <c r="B20" s="65" t="inlineStr">
        <is>
          <t>Roof</t>
        </is>
      </c>
      <c r="C20" s="90" t="inlineStr">
        <is>
          <t>RSS if needed</t>
        </is>
      </c>
      <c r="D20" s="36" t="inlineStr">
        <is>
          <t>Proposed (mall)</t>
        </is>
      </c>
      <c r="E20" s="66" t="inlineStr">
        <is>
          <t>Mall. Only if needed. Not awarded.</t>
        </is>
      </c>
    </row>
    <row r="21" ht="22" customHeight="1" s="73">
      <c r="B21" s="67" t="inlineStr">
        <is>
          <t>Doors</t>
        </is>
      </c>
      <c r="C21" s="68" t="inlineStr">
        <is>
          <t>TBD</t>
        </is>
      </c>
      <c r="D21" s="59" t="inlineStr">
        <is>
          <t>Proposed / TBD</t>
        </is>
      </c>
      <c r="E21" s="69" t="inlineStr">
        <is>
          <t>Firm not listed. Not awarded.</t>
        </is>
      </c>
    </row>
    <row r="22" ht="22" customHeight="1" s="73">
      <c r="B22" s="65" t="inlineStr">
        <is>
          <t>BOH millwork</t>
        </is>
      </c>
      <c r="C22" s="90" t="inlineStr">
        <is>
          <t>Woodchuck</t>
        </is>
      </c>
      <c r="D22" s="36" t="inlineStr">
        <is>
          <t>Proposed</t>
        </is>
      </c>
      <c r="E22" s="66" t="inlineStr">
        <is>
          <t>Not awarded.</t>
        </is>
      </c>
    </row>
    <row r="23" ht="22" customHeight="1" s="73">
      <c r="B23" s="67" t="inlineStr">
        <is>
          <t>Carpentry</t>
        </is>
      </c>
      <c r="C23" s="68" t="inlineStr">
        <is>
          <t>LBC</t>
        </is>
      </c>
      <c r="D23" s="59" t="inlineStr">
        <is>
          <t>Proposed</t>
        </is>
      </c>
      <c r="E23" s="69" t="inlineStr">
        <is>
          <t>LUX Brand Company carpentry. Not awarded as a trade package.</t>
        </is>
      </c>
    </row>
    <row r="24" ht="22" customHeight="1" s="73">
      <c r="B24" s="65" t="inlineStr">
        <is>
          <t>Final clean</t>
        </is>
      </c>
      <c r="C24" s="90" t="inlineStr">
        <is>
          <t>Filthy Clean</t>
        </is>
      </c>
      <c r="D24" s="36" t="inlineStr">
        <is>
          <t>Proposed</t>
        </is>
      </c>
      <c r="E24" s="66" t="inlineStr">
        <is>
          <t>Not awarded.</t>
        </is>
      </c>
    </row>
    <row r="25">
      <c r="B25" s="67" t="inlineStr">
        <is>
          <t>Dumpsters</t>
        </is>
      </c>
      <c r="C25" s="68" t="inlineStr">
        <is>
          <t>Coastal Waste</t>
        </is>
      </c>
      <c r="D25" s="59" t="inlineStr">
        <is>
          <t>Proposed (mall)</t>
        </is>
      </c>
      <c r="E25" s="69" t="inlineStr">
        <is>
          <t>Mall. Not awarded.</t>
        </is>
      </c>
    </row>
    <row r="26" ht="28" customHeight="1" s="73"/>
    <row r="27">
      <c r="B27" s="72" t="inlineStr">
        <is>
          <t>Proposed, not awarded. Trade-package dollars remain $0 until bids are received.</t>
        </is>
      </c>
    </row>
  </sheetData>
  <autoFilter ref="B4:E24"/>
  <mergeCells count="3">
    <mergeCell ref="B26:E26"/>
    <mergeCell ref="B1:E1"/>
    <mergeCell ref="B2:E2"/>
  </mergeCells>
  <printOptions horizontalCentered="1"/>
  <pageMargins left="0.5" right="0.5" top="0.7" bottom="0.6" header="0.3" footer="0.3"/>
  <pageSetup orientation="landscape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LUX Brand Company</dc:creator>
  <dc:title xmlns:dc="http://purl.org/dc/elements/1.1/">RL Boca Cost-Plus CM — preliminary open-book exhibit for Charrette review</dc:title>
  <dc:description xmlns:dc="http://purl.org/dc/elements/1.1/">Preliminary open-book CM exhibit for Charrette review. Commercial terms as of 3 Sep 2026.</dc:description>
  <dc:subject xmlns:dc="http://purl.org/dc/elements/1.1/">Ralph Lauren Boca Raton Town Center 1062 — cost-plus CM exhibit</dc:subject>
  <dc:language xmlns:dc="http://purl.org/dc/elements/1.1/">en-US</dc:language>
  <dcterms:created xmlns:dcterms="http://purl.org/dc/terms/" xmlns:xsi="http://www.w3.org/2001/XMLSchema-instance" xsi:type="dcterms:W3CDTF">2026-04-27T20:13:40Z</dcterms:created>
  <dcterms:modified xmlns:dcterms="http://purl.org/dc/terms/" xmlns:xsi="http://www.w3.org/2001/XMLSchema-instance" xsi:type="dcterms:W3CDTF">2026-09-04T14:19:54Z</dcterms:modified>
  <cp:lastModifiedBy>LUX Brand Company</cp:lastModifiedBy>
  <cp:revision>0</cp:revision>
</cp:coreProperties>
</file>